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61DCB86C-5E0C-401F-8AD0-32AA1A26E9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ms 1" sheetId="1" r:id="rId1"/>
    <sheet name="Sms 2" sheetId="2" r:id="rId2"/>
    <sheet name="Sms 3" sheetId="3" r:id="rId3"/>
    <sheet name="Sms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F12" i="4" s="1"/>
  <c r="F13" i="4" s="1"/>
  <c r="F14" i="4" s="1"/>
  <c r="F15" i="4" s="1"/>
  <c r="F16" i="4" s="1"/>
  <c r="F10" i="4"/>
  <c r="D21" i="4"/>
  <c r="F12" i="3"/>
  <c r="F13" i="3"/>
  <c r="F14" i="3" s="1"/>
  <c r="F15" i="3" s="1"/>
  <c r="L11" i="2"/>
  <c r="L12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62" i="2" s="1"/>
  <c r="L63" i="2" s="1"/>
  <c r="E45" i="1"/>
  <c r="D45" i="1"/>
  <c r="F45" i="1" s="1"/>
  <c r="K39" i="1"/>
  <c r="J39" i="1"/>
  <c r="L39" i="1" s="1"/>
  <c r="F32" i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L31" i="1"/>
  <c r="L32" i="1" s="1"/>
  <c r="L33" i="1" s="1"/>
  <c r="L34" i="1" s="1"/>
  <c r="L35" i="1" s="1"/>
  <c r="L36" i="1" s="1"/>
  <c r="L37" i="1" s="1"/>
  <c r="L38" i="1" s="1"/>
  <c r="F31" i="1"/>
  <c r="K26" i="1"/>
  <c r="J26" i="1"/>
  <c r="L26" i="1" s="1"/>
  <c r="E26" i="1"/>
  <c r="D26" i="1"/>
  <c r="F26" i="1" s="1"/>
  <c r="L10" i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16" i="3" l="1"/>
  <c r="F17" i="3" s="1"/>
  <c r="F18" i="3" s="1"/>
  <c r="F19" i="3" s="1"/>
  <c r="F20" i="3" s="1"/>
  <c r="M11" i="3" s="1"/>
  <c r="M12" i="3" s="1"/>
  <c r="M13" i="3" s="1"/>
  <c r="M14" i="3" l="1"/>
  <c r="M15" i="3" s="1"/>
  <c r="M16" i="3" s="1"/>
  <c r="M17" i="3" s="1"/>
  <c r="M18" i="3" s="1"/>
  <c r="M19" i="3" s="1"/>
  <c r="M20" i="3" s="1"/>
  <c r="M21" i="3" s="1"/>
  <c r="M22" i="3" s="1"/>
  <c r="F27" i="3" s="1"/>
  <c r="F28" i="3" s="1"/>
  <c r="F29" i="3" s="1"/>
  <c r="F30" i="3" s="1"/>
  <c r="F31" i="3" s="1"/>
  <c r="F32" i="3" s="1"/>
  <c r="F33" i="3" s="1"/>
  <c r="F34" i="3" s="1"/>
  <c r="M27" i="3" s="1"/>
  <c r="M28" i="3" s="1"/>
  <c r="M29" i="3" s="1"/>
  <c r="M30" i="3" s="1"/>
  <c r="M31" i="3" s="1"/>
  <c r="M32" i="3" s="1"/>
  <c r="M33" i="3" s="1"/>
  <c r="M34" i="3" s="1"/>
</calcChain>
</file>

<file path=xl/sharedStrings.xml><?xml version="1.0" encoding="utf-8"?>
<sst xmlns="http://schemas.openxmlformats.org/spreadsheetml/2006/main" count="281" uniqueCount="138">
  <si>
    <t>LAPORAN ARUS KAS BULAN SEPTEMBER S.D. DESEMBER</t>
  </si>
  <si>
    <t xml:space="preserve">KELAS 1C PROGRAM STUDI S1 ILMU KEPERAWATAN </t>
  </si>
  <si>
    <t>SEMESTER 1</t>
  </si>
  <si>
    <t>TAHUN 2024/2025</t>
  </si>
  <si>
    <t>periode: September 2024</t>
  </si>
  <si>
    <t>periode: Oktober 2024</t>
  </si>
  <si>
    <t xml:space="preserve">Tanggal </t>
  </si>
  <si>
    <t xml:space="preserve">keterangan </t>
  </si>
  <si>
    <t xml:space="preserve">Pemasukkan </t>
  </si>
  <si>
    <t xml:space="preserve">pengeluaran </t>
  </si>
  <si>
    <t xml:space="preserve">Saldo Akhir </t>
  </si>
  <si>
    <t xml:space="preserve">Keterangan </t>
  </si>
  <si>
    <t xml:space="preserve">Pengeluaran </t>
  </si>
  <si>
    <t xml:space="preserve">Uang kas  </t>
  </si>
  <si>
    <t xml:space="preserve">Uang Kas </t>
  </si>
  <si>
    <t xml:space="preserve">2 Botol Le Mineral </t>
  </si>
  <si>
    <t xml:space="preserve">1 Botol Le Mineral </t>
  </si>
  <si>
    <t xml:space="preserve">2 Botol Lemineral </t>
  </si>
  <si>
    <t xml:space="preserve">Refil Tinta </t>
  </si>
  <si>
    <t>1 Botol Le mineral</t>
  </si>
  <si>
    <t xml:space="preserve">1 Dus Air Aqua </t>
  </si>
  <si>
    <t>3 botol Le Mineral</t>
  </si>
  <si>
    <t xml:space="preserve">2 Kue Ulang Tahun </t>
  </si>
  <si>
    <t xml:space="preserve">1 String Spray </t>
  </si>
  <si>
    <t>Maxter 7,5  27x7.000</t>
  </si>
  <si>
    <t>Spuit &amp; Handscoon</t>
  </si>
  <si>
    <t xml:space="preserve">Glove Steril 7  18x6.000 </t>
  </si>
  <si>
    <t xml:space="preserve">Alkohol Swab One Swab </t>
  </si>
  <si>
    <t xml:space="preserve">Kapas </t>
  </si>
  <si>
    <t xml:space="preserve">TOTAL </t>
  </si>
  <si>
    <t>TOTAL</t>
  </si>
  <si>
    <t xml:space="preserve">NB: Sedikit perbaikan penghitungan di minggu awal </t>
  </si>
  <si>
    <t>periode: November</t>
  </si>
  <si>
    <t>Periode: Desember</t>
  </si>
  <si>
    <t>Keterangan</t>
  </si>
  <si>
    <t>Saldo Akhir</t>
  </si>
  <si>
    <t>Infuset Gea  45x5.500</t>
  </si>
  <si>
    <t>1 Box Glove Altamed M</t>
  </si>
  <si>
    <t xml:space="preserve">2 Box I.V. Cannula </t>
  </si>
  <si>
    <t>Lanyard UYM  45x25.000</t>
  </si>
  <si>
    <t>1 Botol Le Mineral</t>
  </si>
  <si>
    <t>Print Daftil Biomedik</t>
  </si>
  <si>
    <t xml:space="preserve">Print Daftil </t>
  </si>
  <si>
    <t xml:space="preserve">2 Box Alkohol Swab </t>
  </si>
  <si>
    <t xml:space="preserve">Keseluruhan : </t>
  </si>
  <si>
    <t>Micropore</t>
  </si>
  <si>
    <t>716.500,00 + 1.181.500,00 + 209.000,00 +1.087.500,00 = 3.194.500,00</t>
  </si>
  <si>
    <t>1 Box Spuit One Med</t>
  </si>
  <si>
    <t>Kasa Ungu</t>
  </si>
  <si>
    <t xml:space="preserve">LAPORAN ARUS KAS BULAN JANUARI - JULI </t>
  </si>
  <si>
    <t xml:space="preserve">KELAS 2C PROGRAM STUDI S1 ILMU KEPERAWATAN </t>
  </si>
  <si>
    <t>SEMESTER 2</t>
  </si>
  <si>
    <t>TAHUN 2025/2026</t>
  </si>
  <si>
    <t>Periode Januari 2025</t>
  </si>
  <si>
    <t>Periode Maret 2025</t>
  </si>
  <si>
    <t>Tanggal</t>
  </si>
  <si>
    <t>Pemasukkan</t>
  </si>
  <si>
    <t xml:space="preserve"> 1 Botol LeMineral</t>
  </si>
  <si>
    <t>2 Botol LeMineral</t>
  </si>
  <si>
    <t xml:space="preserve">Sisa Saldo Akhir= Rp 3.178.500,00 </t>
  </si>
  <si>
    <r>
      <rPr>
        <sz val="12"/>
        <rFont val="Times New Roman"/>
      </rPr>
      <t xml:space="preserve">Dipotong Biaya Admin = </t>
    </r>
    <r>
      <rPr>
        <sz val="12"/>
        <color rgb="FFFF0000"/>
        <rFont val="Times New Roman"/>
      </rPr>
      <t>Rp 15.000,00</t>
    </r>
  </si>
  <si>
    <t xml:space="preserve">Jumlah Mahasiswa Kelas C = 45 Orang </t>
  </si>
  <si>
    <t xml:space="preserve">Rp 28.500,00 - Rp 15.000,00 = </t>
  </si>
  <si>
    <t>Pembagian Uang Kas Per Orang= Rp 70.000,00</t>
  </si>
  <si>
    <t>45 × 70.000 = 3.150.000</t>
  </si>
  <si>
    <r>
      <rPr>
        <sz val="12"/>
        <rFont val="Times New Roman"/>
      </rPr>
      <t xml:space="preserve">Rp 3.178.500,00 - Rp 3.150.000,00 = </t>
    </r>
    <r>
      <rPr>
        <sz val="12"/>
        <color rgb="FFFF0000"/>
        <rFont val="Times New Roman"/>
      </rPr>
      <t>Rp 28.500,00</t>
    </r>
  </si>
  <si>
    <t>Periode April 2025</t>
  </si>
  <si>
    <t>Periode Mei 2025</t>
  </si>
  <si>
    <t>Spuit One Health 3 cc (PCS)</t>
  </si>
  <si>
    <t>Log Book</t>
  </si>
  <si>
    <t xml:space="preserve">Alkohol Swab Sensi </t>
  </si>
  <si>
    <t>Spuit 3 cc</t>
  </si>
  <si>
    <t xml:space="preserve">Sensi Glove M </t>
  </si>
  <si>
    <t xml:space="preserve">EDTA </t>
  </si>
  <si>
    <t>Handscoon M</t>
  </si>
  <si>
    <t>Selempang (Dp)</t>
  </si>
  <si>
    <t xml:space="preserve">Decapore 1 Inch </t>
  </si>
  <si>
    <t>Uang Admin</t>
  </si>
  <si>
    <t>Pot 50 cc (PACK)</t>
  </si>
  <si>
    <t xml:space="preserve">Selempang </t>
  </si>
  <si>
    <t xml:space="preserve">Ongkir Selempang </t>
  </si>
  <si>
    <t>Periode Juni 2025</t>
  </si>
  <si>
    <t>Periode Juli 2025</t>
  </si>
  <si>
    <t xml:space="preserve">Print Sertifikat </t>
  </si>
  <si>
    <t>Uang Kas</t>
  </si>
  <si>
    <t>1 Botol LeMineral</t>
  </si>
  <si>
    <t>Print Daftil</t>
  </si>
  <si>
    <t>1 Botol LeMineral +1 Botol Aqua</t>
  </si>
  <si>
    <t xml:space="preserve">Sumbangan </t>
  </si>
  <si>
    <t>3 Botol LeMineral</t>
  </si>
  <si>
    <t>Sendal Crock  42 (PCS) Rp 29.333,00</t>
  </si>
  <si>
    <t xml:space="preserve">Harga asli sendal totalnya Rp 1.231.295,00 </t>
  </si>
  <si>
    <t>Saya genapkan agar perhitungan tidak bingung, jadi Rp 1.232.000</t>
  </si>
  <si>
    <t>Dikarenakan ada 3 Orang yang tidak membeli sendal, uang diberikan kepada 3 orang tersebut</t>
  </si>
  <si>
    <t>3 × Rp 29.333,00 = Rp 87.999,00</t>
  </si>
  <si>
    <r>
      <rPr>
        <sz val="12"/>
        <rFont val="Times New Roman"/>
      </rPr>
      <t>Rp 1.768.500,00</t>
    </r>
    <r>
      <rPr>
        <sz val="12"/>
        <rFont val="Times New Roman"/>
      </rPr>
      <t xml:space="preserve"> - Rp 87.333,00 = Rp 1.680.501,00</t>
    </r>
  </si>
  <si>
    <t xml:space="preserve">Amoxicilin 500 mg 50 tablet </t>
  </si>
  <si>
    <t xml:space="preserve">Nacl 25 ml, 44 </t>
  </si>
  <si>
    <t xml:space="preserve">Spuit 5cc </t>
  </si>
  <si>
    <t>Underpad 1 pcs</t>
  </si>
  <si>
    <t>Paracetamol 5 strip</t>
  </si>
  <si>
    <t xml:space="preserve">Orang yang tidak membeli sendal 3 orang </t>
  </si>
  <si>
    <r>
      <rPr>
        <b/>
        <sz val="14"/>
        <rFont val="Times New Roman"/>
      </rPr>
      <t xml:space="preserve">Sisa uang kas Semester 2 adalah </t>
    </r>
    <r>
      <rPr>
        <b/>
        <sz val="14"/>
        <color rgb="FFFF0000"/>
        <rFont val="Times New Roman"/>
      </rPr>
      <t>Rp 1.261.501,00</t>
    </r>
    <r>
      <rPr>
        <b/>
        <sz val="14"/>
        <rFont val="Times New Roman"/>
      </rPr>
      <t xml:space="preserve"> Dan akan dilanjut ke Semester 3</t>
    </r>
  </si>
  <si>
    <t>LAPORAN ARUS KAS BULAN SEPTEMBER - DESEMBER</t>
  </si>
  <si>
    <t>KELAS 3 C PROGRAM STUDI S1 ILMU KEPERAWATAN</t>
  </si>
  <si>
    <t>SEMESTER 3</t>
  </si>
  <si>
    <t>TAHUN 2025-2026</t>
  </si>
  <si>
    <t>SEPTEMBER</t>
  </si>
  <si>
    <t>OCTOBER</t>
  </si>
  <si>
    <t>Pengeluaran</t>
  </si>
  <si>
    <t>2 Botol Le mineral</t>
  </si>
  <si>
    <t>Abocath</t>
  </si>
  <si>
    <t>Alkohol swab</t>
  </si>
  <si>
    <t xml:space="preserve">Fotocopy kertas jepang </t>
  </si>
  <si>
    <t>Infuset</t>
  </si>
  <si>
    <t xml:space="preserve">Spidol papan tulis </t>
  </si>
  <si>
    <t>1 Dus botol le mineral</t>
  </si>
  <si>
    <t xml:space="preserve">Uang kas </t>
  </si>
  <si>
    <t xml:space="preserve">Fotocopy B. Inggris </t>
  </si>
  <si>
    <t>NOVEMBER</t>
  </si>
  <si>
    <t>DESEMBER</t>
  </si>
  <si>
    <t>1 Dus botol Le mineral</t>
  </si>
  <si>
    <t xml:space="preserve">I.V Abocath </t>
  </si>
  <si>
    <t>Jarum</t>
  </si>
  <si>
    <t>Fotocopy Daftil</t>
  </si>
  <si>
    <t>Strip</t>
  </si>
  <si>
    <t>SEMESTER 4 TAHUN 2026</t>
  </si>
  <si>
    <r>
      <t xml:space="preserve">   </t>
    </r>
    <r>
      <rPr>
        <b/>
        <sz val="14"/>
        <color rgb="FF000000"/>
        <rFont val="Times New Roman"/>
        <family val="1"/>
      </rPr>
      <t>PROGRAM STUDI S1 ILMU KEPERWATAN</t>
    </r>
  </si>
  <si>
    <t>APRIL</t>
  </si>
  <si>
    <t>Pemasukan</t>
  </si>
  <si>
    <t>Print Kertas Kep.Anak</t>
  </si>
  <si>
    <t>Print Kertas Lab</t>
  </si>
  <si>
    <t>Print Kertas Kep.Dewasa</t>
  </si>
  <si>
    <t>1 Dus Botol Le Mineral</t>
  </si>
  <si>
    <t>Uang  Kas</t>
  </si>
  <si>
    <t xml:space="preserve"> </t>
  </si>
  <si>
    <t>LAPORAN ARUS KAS KELAS 4 C</t>
  </si>
  <si>
    <t>Sisah Saldo Semester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</si>
</sst>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p&quot;#,##0.00;[Red]\-&quot;Rp&quot;#,##0.00"/>
    <numFmt numFmtId="44" formatCode="_-&quot;Rp&quot;* #,##0.00_-;\-&quot;Rp&quot;* #,##0.00_-;_-&quot;Rp&quot;* &quot;-&quot;??_-;_-@_-"/>
    <numFmt numFmtId="164" formatCode="[$-13809]dd/mm/yyyy"/>
    <numFmt numFmtId="165" formatCode="_-* #,##0.00_-;\-* #,##0.00_-;_-* &quot;-&quot;??_-;_-@"/>
    <numFmt numFmtId="166" formatCode="_-&quot;Rp&quot;* #,##0.00_-;\-&quot;Rp&quot;* #,##0.00_-;_-&quot;Rp&quot;* &quot;-&quot;??_-;_-@"/>
    <numFmt numFmtId="167" formatCode="_-[$Rp-3809]* #,##0.00_-;\-[$Rp-3809]* #,##0.00_-;_-[$Rp-3809]* &quot;-&quot;??_-;_-@"/>
    <numFmt numFmtId="168" formatCode="&quot;Rp&quot;#,##0.00"/>
  </numFmts>
  <fonts count="25">
    <font>
      <sz val="11"/>
      <color rgb="FF000000"/>
      <name val="Calibri"/>
      <scheme val="minor"/>
    </font>
    <font>
      <sz val="11"/>
      <name val="Calibri"/>
    </font>
    <font>
      <b/>
      <sz val="12"/>
      <name val="Times New Roman"/>
    </font>
    <font>
      <i/>
      <sz val="14"/>
      <name val="Times New Roman"/>
    </font>
    <font>
      <sz val="14"/>
      <name val="Times New Roman"/>
    </font>
    <font>
      <sz val="12"/>
      <name val="Times New Roman"/>
    </font>
    <font>
      <sz val="11"/>
      <name val="Times New Roman"/>
    </font>
    <font>
      <sz val="11"/>
      <name val="Calibri"/>
    </font>
    <font>
      <b/>
      <sz val="16"/>
      <name val="Times New Roman"/>
    </font>
    <font>
      <b/>
      <sz val="16"/>
      <name val="Times New Roman"/>
    </font>
    <font>
      <b/>
      <i/>
      <sz val="12"/>
      <name val="Times New Roman"/>
    </font>
    <font>
      <sz val="12"/>
      <name val="Calibri"/>
    </font>
    <font>
      <i/>
      <sz val="11"/>
      <name val="Times New Roman"/>
    </font>
    <font>
      <sz val="12"/>
      <color rgb="FFFF0000"/>
      <name val="Times New Roman"/>
    </font>
    <font>
      <sz val="11"/>
      <name val="Times New Roman"/>
    </font>
    <font>
      <b/>
      <sz val="14"/>
      <name val="Times New Roman"/>
    </font>
    <font>
      <b/>
      <sz val="14"/>
      <name val="Calibri"/>
    </font>
    <font>
      <b/>
      <sz val="11"/>
      <name val="Calibri"/>
    </font>
    <font>
      <b/>
      <sz val="18"/>
      <name val="Times New Roman"/>
    </font>
    <font>
      <b/>
      <i/>
      <sz val="14"/>
      <name val="Times New Roman"/>
    </font>
    <font>
      <b/>
      <sz val="14"/>
      <color rgb="FFFF0000"/>
      <name val="Times New Roman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00B0F0"/>
        <bgColor rgb="FF00B0F0"/>
      </patternFill>
    </fill>
  </fills>
  <borders count="1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center"/>
    </xf>
    <xf numFmtId="164" fontId="3" fillId="0" borderId="1" xfId="0" applyNumberFormat="1" applyFont="1" applyBorder="1"/>
    <xf numFmtId="0" fontId="4" fillId="0" borderId="1" xfId="0" applyFont="1" applyBorder="1"/>
    <xf numFmtId="0" fontId="1" fillId="0" borderId="1" xfId="0" applyFont="1" applyBorder="1"/>
    <xf numFmtId="16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5" fontId="6" fillId="3" borderId="3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165" fontId="1" fillId="3" borderId="3" xfId="0" applyNumberFormat="1" applyFont="1" applyFill="1" applyBorder="1"/>
    <xf numFmtId="165" fontId="5" fillId="3" borderId="3" xfId="0" applyNumberFormat="1" applyFont="1" applyFill="1" applyBorder="1"/>
    <xf numFmtId="164" fontId="5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5" fontId="6" fillId="4" borderId="4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/>
    <xf numFmtId="164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165" fontId="5" fillId="3" borderId="4" xfId="0" applyNumberFormat="1" applyFont="1" applyFill="1" applyBorder="1"/>
    <xf numFmtId="0" fontId="5" fillId="3" borderId="5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5" fontId="6" fillId="4" borderId="6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5" fontId="5" fillId="3" borderId="6" xfId="0" applyNumberFormat="1" applyFont="1" applyFill="1" applyBorder="1"/>
    <xf numFmtId="165" fontId="6" fillId="2" borderId="9" xfId="0" applyNumberFormat="1" applyFont="1" applyFill="1" applyBorder="1" applyAlignment="1">
      <alignment horizontal="center"/>
    </xf>
    <xf numFmtId="165" fontId="5" fillId="2" borderId="9" xfId="0" applyNumberFormat="1" applyFont="1" applyFill="1" applyBorder="1"/>
    <xf numFmtId="164" fontId="5" fillId="0" borderId="0" xfId="0" applyNumberFormat="1" applyFont="1"/>
    <xf numFmtId="0" fontId="5" fillId="0" borderId="0" xfId="0" applyFont="1"/>
    <xf numFmtId="164" fontId="5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3" borderId="3" xfId="0" applyFont="1" applyFill="1" applyBorder="1"/>
    <xf numFmtId="165" fontId="5" fillId="3" borderId="4" xfId="0" applyNumberFormat="1" applyFont="1" applyFill="1" applyBorder="1" applyAlignment="1">
      <alignment horizontal="center"/>
    </xf>
    <xf numFmtId="0" fontId="5" fillId="4" borderId="4" xfId="0" applyFont="1" applyFill="1" applyBorder="1"/>
    <xf numFmtId="165" fontId="5" fillId="4" borderId="4" xfId="0" applyNumberFormat="1" applyFont="1" applyFill="1" applyBorder="1" applyAlignment="1">
      <alignment horizontal="center"/>
    </xf>
    <xf numFmtId="0" fontId="5" fillId="3" borderId="4" xfId="0" applyFont="1" applyFill="1" applyBorder="1"/>
    <xf numFmtId="0" fontId="5" fillId="3" borderId="6" xfId="0" applyFont="1" applyFill="1" applyBorder="1"/>
    <xf numFmtId="0" fontId="4" fillId="0" borderId="0" xfId="0" applyFont="1"/>
    <xf numFmtId="0" fontId="4" fillId="3" borderId="10" xfId="0" applyFont="1" applyFill="1" applyBorder="1"/>
    <xf numFmtId="165" fontId="4" fillId="3" borderId="10" xfId="0" applyNumberFormat="1" applyFont="1" applyFill="1" applyBorder="1"/>
    <xf numFmtId="165" fontId="5" fillId="4" borderId="6" xfId="0" applyNumberFormat="1" applyFont="1" applyFill="1" applyBorder="1" applyAlignment="1">
      <alignment horizontal="center"/>
    </xf>
    <xf numFmtId="165" fontId="5" fillId="2" borderId="9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166" fontId="5" fillId="0" borderId="4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14" fontId="6" fillId="0" borderId="4" xfId="0" applyNumberFormat="1" applyFont="1" applyBorder="1"/>
    <xf numFmtId="0" fontId="6" fillId="0" borderId="4" xfId="0" applyFont="1" applyBorder="1"/>
    <xf numFmtId="168" fontId="6" fillId="0" borderId="4" xfId="0" applyNumberFormat="1" applyFont="1" applyBorder="1"/>
    <xf numFmtId="166" fontId="6" fillId="0" borderId="4" xfId="0" applyNumberFormat="1" applyFont="1" applyBorder="1"/>
    <xf numFmtId="14" fontId="1" fillId="0" borderId="0" xfId="0" applyNumberFormat="1" applyFont="1"/>
    <xf numFmtId="166" fontId="1" fillId="0" borderId="0" xfId="0" applyNumberFormat="1" applyFont="1"/>
    <xf numFmtId="8" fontId="5" fillId="0" borderId="0" xfId="0" applyNumberFormat="1" applyFont="1"/>
    <xf numFmtId="0" fontId="1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6" fontId="5" fillId="0" borderId="4" xfId="0" applyNumberFormat="1" applyFont="1" applyBorder="1"/>
    <xf numFmtId="166" fontId="6" fillId="0" borderId="4" xfId="0" applyNumberFormat="1" applyFont="1" applyBorder="1" applyAlignment="1">
      <alignment horizontal="center"/>
    </xf>
    <xf numFmtId="167" fontId="5" fillId="0" borderId="4" xfId="0" applyNumberFormat="1" applyFont="1" applyBorder="1"/>
    <xf numFmtId="164" fontId="5" fillId="0" borderId="11" xfId="0" applyNumberFormat="1" applyFont="1" applyBorder="1" applyAlignment="1">
      <alignment horizontal="center"/>
    </xf>
    <xf numFmtId="167" fontId="5" fillId="0" borderId="12" xfId="0" applyNumberFormat="1" applyFont="1" applyBorder="1"/>
    <xf numFmtId="0" fontId="5" fillId="0" borderId="13" xfId="0" applyFont="1" applyBorder="1" applyAlignment="1">
      <alignment horizontal="center"/>
    </xf>
    <xf numFmtId="167" fontId="6" fillId="0" borderId="4" xfId="0" applyNumberFormat="1" applyFont="1" applyBorder="1"/>
    <xf numFmtId="166" fontId="14" fillId="5" borderId="4" xfId="0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0" applyNumberFormat="1" applyFont="1"/>
    <xf numFmtId="166" fontId="5" fillId="5" borderId="10" xfId="0" applyNumberFormat="1" applyFont="1" applyFill="1" applyBorder="1"/>
    <xf numFmtId="0" fontId="5" fillId="5" borderId="10" xfId="0" applyFont="1" applyFill="1" applyBorder="1" applyAlignment="1">
      <alignment horizontal="center"/>
    </xf>
    <xf numFmtId="168" fontId="5" fillId="0" borderId="4" xfId="0" applyNumberFormat="1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/>
    <xf numFmtId="0" fontId="1" fillId="0" borderId="4" xfId="0" applyFont="1" applyBorder="1"/>
    <xf numFmtId="14" fontId="1" fillId="0" borderId="4" xfId="0" applyNumberFormat="1" applyFont="1" applyBorder="1"/>
    <xf numFmtId="0" fontId="22" fillId="0" borderId="0" xfId="0" applyFont="1"/>
    <xf numFmtId="0" fontId="0" fillId="0" borderId="14" xfId="0" applyBorder="1"/>
    <xf numFmtId="0" fontId="23" fillId="0" borderId="15" xfId="0" applyFont="1" applyBorder="1"/>
    <xf numFmtId="14" fontId="23" fillId="0" borderId="15" xfId="0" applyNumberFormat="1" applyFont="1" applyBorder="1"/>
    <xf numFmtId="14" fontId="23" fillId="0" borderId="15" xfId="0" applyNumberFormat="1" applyFont="1" applyBorder="1" applyAlignment="1">
      <alignment horizontal="right"/>
    </xf>
    <xf numFmtId="0" fontId="23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4" fillId="0" borderId="0" xfId="0" applyFont="1"/>
    <xf numFmtId="0" fontId="22" fillId="0" borderId="10" xfId="0" applyFont="1" applyBorder="1"/>
    <xf numFmtId="0" fontId="21" fillId="0" borderId="10" xfId="0" applyFont="1" applyBorder="1"/>
    <xf numFmtId="0" fontId="0" fillId="0" borderId="10" xfId="0" applyBorder="1"/>
    <xf numFmtId="0" fontId="21" fillId="0" borderId="17" xfId="0" applyFont="1" applyBorder="1"/>
    <xf numFmtId="0" fontId="22" fillId="0" borderId="15" xfId="0" quotePrefix="1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44" fontId="0" fillId="0" borderId="0" xfId="0" applyNumberFormat="1"/>
    <xf numFmtId="44" fontId="23" fillId="0" borderId="15" xfId="0" applyNumberFormat="1" applyFont="1" applyBorder="1" applyAlignment="1">
      <alignment horizontal="center" vertical="center"/>
    </xf>
    <xf numFmtId="44" fontId="0" fillId="0" borderId="14" xfId="0" applyNumberFormat="1" applyBorder="1"/>
    <xf numFmtId="44" fontId="22" fillId="0" borderId="15" xfId="0" applyNumberFormat="1" applyFont="1" applyBorder="1" applyAlignment="1">
      <alignment horizontal="center"/>
    </xf>
    <xf numFmtId="44" fontId="23" fillId="0" borderId="15" xfId="0" applyNumberFormat="1" applyFont="1" applyBorder="1"/>
    <xf numFmtId="164" fontId="5" fillId="2" borderId="7" xfId="0" applyNumberFormat="1" applyFont="1" applyFill="1" applyBorder="1" applyAlignment="1">
      <alignment horizontal="center"/>
    </xf>
    <xf numFmtId="0" fontId="7" fillId="0" borderId="8" xfId="0" applyFont="1" applyBorder="1"/>
    <xf numFmtId="0" fontId="2" fillId="0" borderId="0" xfId="0" applyFont="1" applyAlignment="1">
      <alignment horizontal="center"/>
    </xf>
    <xf numFmtId="0" fontId="0" fillId="0" borderId="0" xfId="0"/>
    <xf numFmtId="164" fontId="6" fillId="2" borderId="7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4" fontId="22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opLeftCell="A28" workbookViewId="0"/>
  </sheetViews>
  <sheetFormatPr defaultColWidth="14.44140625" defaultRowHeight="15" customHeight="1"/>
  <cols>
    <col min="1" max="1" width="10.6640625" customWidth="1"/>
    <col min="2" max="2" width="13.6640625" customWidth="1"/>
    <col min="3" max="3" width="28.33203125" customWidth="1"/>
    <col min="4" max="4" width="15.88671875" customWidth="1"/>
    <col min="5" max="5" width="15.6640625" customWidth="1"/>
    <col min="6" max="6" width="15.88671875" customWidth="1"/>
    <col min="7" max="7" width="8.6640625" customWidth="1"/>
    <col min="8" max="8" width="14" customWidth="1"/>
    <col min="9" max="9" width="28.33203125" customWidth="1"/>
    <col min="10" max="12" width="15.6640625" customWidth="1"/>
    <col min="13" max="13" width="8.6640625" customWidth="1"/>
  </cols>
  <sheetData>
    <row r="1" spans="1:13" ht="14.25" customHeight="1">
      <c r="A1" s="1"/>
      <c r="H1" s="1"/>
      <c r="M1" s="2"/>
    </row>
    <row r="2" spans="1:13" ht="14.25" customHeight="1">
      <c r="A2" s="1"/>
      <c r="H2" s="1"/>
      <c r="M2" s="2"/>
    </row>
    <row r="3" spans="1:13" ht="14.25" customHeight="1">
      <c r="A3" s="116" t="s">
        <v>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2"/>
    </row>
    <row r="4" spans="1:13" ht="15" customHeight="1">
      <c r="A4" s="116" t="s">
        <v>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3" ht="14.25" customHeight="1">
      <c r="A5" s="116" t="s">
        <v>2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</row>
    <row r="6" spans="1:13" ht="14.25" customHeight="1">
      <c r="A6" s="116" t="s">
        <v>3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3" ht="14.25" customHeight="1">
      <c r="A7" s="1"/>
      <c r="F7" s="3"/>
      <c r="H7" s="1"/>
    </row>
    <row r="8" spans="1:13" ht="14.25" customHeight="1">
      <c r="A8" s="1"/>
      <c r="B8" s="4" t="s">
        <v>4</v>
      </c>
      <c r="C8" s="5"/>
      <c r="D8" s="6"/>
      <c r="E8" s="6"/>
      <c r="F8" s="6"/>
      <c r="H8" s="4" t="s">
        <v>5</v>
      </c>
      <c r="I8" s="6"/>
      <c r="J8" s="6"/>
      <c r="K8" s="6"/>
      <c r="L8" s="6"/>
    </row>
    <row r="9" spans="1:13" ht="14.25" customHeight="1">
      <c r="A9" s="1"/>
      <c r="B9" s="7" t="s">
        <v>6</v>
      </c>
      <c r="C9" s="8" t="s">
        <v>7</v>
      </c>
      <c r="D9" s="8" t="s">
        <v>8</v>
      </c>
      <c r="E9" s="8" t="s">
        <v>9</v>
      </c>
      <c r="F9" s="8" t="s">
        <v>10</v>
      </c>
      <c r="H9" s="7" t="s">
        <v>6</v>
      </c>
      <c r="I9" s="8" t="s">
        <v>11</v>
      </c>
      <c r="J9" s="8" t="s">
        <v>8</v>
      </c>
      <c r="K9" s="8" t="s">
        <v>12</v>
      </c>
      <c r="L9" s="8" t="s">
        <v>10</v>
      </c>
    </row>
    <row r="10" spans="1:13" ht="14.25" customHeight="1">
      <c r="A10" s="1"/>
      <c r="B10" s="9">
        <v>45553</v>
      </c>
      <c r="C10" s="10" t="s">
        <v>13</v>
      </c>
      <c r="D10" s="11">
        <v>320000</v>
      </c>
      <c r="E10" s="12"/>
      <c r="F10" s="12">
        <f>D10-E10</f>
        <v>320000</v>
      </c>
      <c r="H10" s="9">
        <v>45569</v>
      </c>
      <c r="I10" s="10" t="s">
        <v>14</v>
      </c>
      <c r="J10" s="13">
        <v>430000</v>
      </c>
      <c r="K10" s="14"/>
      <c r="L10" s="15">
        <f>J10+K10</f>
        <v>430000</v>
      </c>
    </row>
    <row r="11" spans="1:13" ht="14.25" customHeight="1">
      <c r="A11" s="1"/>
      <c r="B11" s="16">
        <v>45553</v>
      </c>
      <c r="C11" s="17" t="s">
        <v>15</v>
      </c>
      <c r="D11" s="18"/>
      <c r="E11" s="18">
        <v>6000</v>
      </c>
      <c r="F11" s="18">
        <f>F10+D11-E11</f>
        <v>314000</v>
      </c>
      <c r="H11" s="16">
        <v>45569</v>
      </c>
      <c r="I11" s="17" t="s">
        <v>16</v>
      </c>
      <c r="J11" s="19"/>
      <c r="K11" s="20">
        <v>3000</v>
      </c>
      <c r="L11" s="20">
        <f>L10-K11</f>
        <v>427000</v>
      </c>
    </row>
    <row r="12" spans="1:13" ht="14.25" customHeight="1">
      <c r="A12" s="1"/>
      <c r="B12" s="16">
        <v>45554</v>
      </c>
      <c r="C12" s="17" t="s">
        <v>15</v>
      </c>
      <c r="D12" s="18"/>
      <c r="E12" s="18">
        <v>6000</v>
      </c>
      <c r="F12" s="18">
        <f>F11+D12-E11</f>
        <v>308000</v>
      </c>
      <c r="H12" s="16">
        <v>45573</v>
      </c>
      <c r="I12" s="17" t="s">
        <v>17</v>
      </c>
      <c r="J12" s="20"/>
      <c r="K12" s="20">
        <v>6000</v>
      </c>
      <c r="L12" s="20">
        <f t="shared" ref="L12:L25" si="0">L11+J12-K12</f>
        <v>421000</v>
      </c>
    </row>
    <row r="13" spans="1:13" ht="14.25" customHeight="1">
      <c r="A13" s="1"/>
      <c r="B13" s="21">
        <v>45554</v>
      </c>
      <c r="C13" s="22" t="s">
        <v>13</v>
      </c>
      <c r="D13" s="23">
        <v>110000</v>
      </c>
      <c r="E13" s="23"/>
      <c r="F13" s="23">
        <f>D13-E13+F12</f>
        <v>418000</v>
      </c>
      <c r="H13" s="16">
        <v>45574</v>
      </c>
      <c r="I13" s="17" t="s">
        <v>16</v>
      </c>
      <c r="J13" s="20"/>
      <c r="K13" s="20">
        <v>3000</v>
      </c>
      <c r="L13" s="20">
        <f t="shared" si="0"/>
        <v>418000</v>
      </c>
    </row>
    <row r="14" spans="1:13" ht="14.25" customHeight="1">
      <c r="A14" s="1"/>
      <c r="B14" s="16">
        <v>45555</v>
      </c>
      <c r="C14" s="17" t="s">
        <v>18</v>
      </c>
      <c r="D14" s="18"/>
      <c r="E14" s="18">
        <v>19500</v>
      </c>
      <c r="F14" s="18">
        <f t="shared" ref="F14:F25" si="1">F13+D14-E14</f>
        <v>398500</v>
      </c>
      <c r="H14" s="16">
        <v>45575</v>
      </c>
      <c r="I14" s="17" t="s">
        <v>17</v>
      </c>
      <c r="J14" s="20"/>
      <c r="K14" s="20">
        <v>6000</v>
      </c>
      <c r="L14" s="20">
        <f t="shared" si="0"/>
        <v>412000</v>
      </c>
    </row>
    <row r="15" spans="1:13" ht="14.25" customHeight="1">
      <c r="A15" s="1"/>
      <c r="B15" s="16">
        <v>45555</v>
      </c>
      <c r="C15" s="17" t="s">
        <v>19</v>
      </c>
      <c r="D15" s="18"/>
      <c r="E15" s="18">
        <v>3000</v>
      </c>
      <c r="F15" s="18">
        <f t="shared" si="1"/>
        <v>395500</v>
      </c>
      <c r="H15" s="21">
        <v>45576</v>
      </c>
      <c r="I15" s="22" t="s">
        <v>14</v>
      </c>
      <c r="J15" s="24">
        <v>450000</v>
      </c>
      <c r="K15" s="24"/>
      <c r="L15" s="20">
        <f t="shared" si="0"/>
        <v>862000</v>
      </c>
    </row>
    <row r="16" spans="1:13" ht="14.25" customHeight="1">
      <c r="A16" s="1"/>
      <c r="B16" s="21">
        <v>45555</v>
      </c>
      <c r="C16" s="22" t="s">
        <v>13</v>
      </c>
      <c r="D16" s="23">
        <v>40000</v>
      </c>
      <c r="E16" s="23"/>
      <c r="F16" s="23">
        <f t="shared" si="1"/>
        <v>435500</v>
      </c>
      <c r="H16" s="16">
        <v>45580</v>
      </c>
      <c r="I16" s="17" t="s">
        <v>17</v>
      </c>
      <c r="J16" s="20"/>
      <c r="K16" s="20">
        <v>6000</v>
      </c>
      <c r="L16" s="20">
        <f t="shared" si="0"/>
        <v>856000</v>
      </c>
    </row>
    <row r="17" spans="1:12" ht="14.25" customHeight="1">
      <c r="A17" s="1"/>
      <c r="B17" s="16">
        <v>45559</v>
      </c>
      <c r="C17" s="17" t="s">
        <v>19</v>
      </c>
      <c r="D17" s="18"/>
      <c r="E17" s="18">
        <v>4000</v>
      </c>
      <c r="F17" s="18">
        <f t="shared" si="1"/>
        <v>431500</v>
      </c>
      <c r="H17" s="16">
        <v>45580</v>
      </c>
      <c r="I17" s="17" t="s">
        <v>20</v>
      </c>
      <c r="J17" s="20"/>
      <c r="K17" s="20">
        <v>48000</v>
      </c>
      <c r="L17" s="20">
        <f t="shared" si="0"/>
        <v>808000</v>
      </c>
    </row>
    <row r="18" spans="1:12" ht="14.25" customHeight="1">
      <c r="A18" s="1"/>
      <c r="B18" s="16">
        <v>45560</v>
      </c>
      <c r="C18" s="17" t="s">
        <v>15</v>
      </c>
      <c r="D18" s="18"/>
      <c r="E18" s="18">
        <v>6000</v>
      </c>
      <c r="F18" s="18">
        <f t="shared" si="1"/>
        <v>425500</v>
      </c>
      <c r="H18" s="21">
        <v>45583</v>
      </c>
      <c r="I18" s="25" t="s">
        <v>14</v>
      </c>
      <c r="J18" s="24">
        <v>450000</v>
      </c>
      <c r="K18" s="24"/>
      <c r="L18" s="24">
        <f t="shared" si="0"/>
        <v>1258000</v>
      </c>
    </row>
    <row r="19" spans="1:12" ht="14.25" customHeight="1">
      <c r="A19" s="1"/>
      <c r="B19" s="16">
        <v>45561</v>
      </c>
      <c r="C19" s="17" t="s">
        <v>21</v>
      </c>
      <c r="D19" s="18"/>
      <c r="E19" s="18">
        <v>10000</v>
      </c>
      <c r="F19" s="18">
        <f t="shared" si="1"/>
        <v>415500</v>
      </c>
      <c r="H19" s="16">
        <v>45586</v>
      </c>
      <c r="I19" s="17" t="s">
        <v>22</v>
      </c>
      <c r="J19" s="20"/>
      <c r="K19" s="20">
        <v>190000</v>
      </c>
      <c r="L19" s="20">
        <f t="shared" si="0"/>
        <v>1068000</v>
      </c>
    </row>
    <row r="20" spans="1:12" ht="14.25" customHeight="1">
      <c r="A20" s="1"/>
      <c r="B20" s="16">
        <v>45562</v>
      </c>
      <c r="C20" s="17" t="s">
        <v>19</v>
      </c>
      <c r="D20" s="18"/>
      <c r="E20" s="18">
        <v>3000</v>
      </c>
      <c r="F20" s="18">
        <f t="shared" si="1"/>
        <v>412500</v>
      </c>
      <c r="H20" s="16">
        <v>45586</v>
      </c>
      <c r="I20" s="17" t="s">
        <v>23</v>
      </c>
      <c r="J20" s="20"/>
      <c r="K20" s="20">
        <v>15000</v>
      </c>
      <c r="L20" s="20">
        <f t="shared" si="0"/>
        <v>1053000</v>
      </c>
    </row>
    <row r="21" spans="1:12" ht="14.25" customHeight="1">
      <c r="A21" s="1"/>
      <c r="B21" s="21">
        <v>45563</v>
      </c>
      <c r="C21" s="22" t="s">
        <v>13</v>
      </c>
      <c r="D21" s="23">
        <v>450000</v>
      </c>
      <c r="E21" s="23"/>
      <c r="F21" s="23">
        <f t="shared" si="1"/>
        <v>862500</v>
      </c>
      <c r="H21" s="16">
        <v>45586</v>
      </c>
      <c r="I21" s="17" t="s">
        <v>24</v>
      </c>
      <c r="J21" s="20"/>
      <c r="K21" s="20">
        <v>189000</v>
      </c>
      <c r="L21" s="20">
        <f t="shared" si="0"/>
        <v>864000</v>
      </c>
    </row>
    <row r="22" spans="1:12" ht="14.25" customHeight="1">
      <c r="A22" s="1"/>
      <c r="B22" s="16">
        <v>45564</v>
      </c>
      <c r="C22" s="17" t="s">
        <v>25</v>
      </c>
      <c r="D22" s="18"/>
      <c r="E22" s="18">
        <v>129000</v>
      </c>
      <c r="F22" s="18">
        <f t="shared" si="1"/>
        <v>733500</v>
      </c>
      <c r="H22" s="16">
        <v>45586</v>
      </c>
      <c r="I22" s="17" t="s">
        <v>26</v>
      </c>
      <c r="J22" s="20"/>
      <c r="K22" s="20">
        <v>108000</v>
      </c>
      <c r="L22" s="20">
        <f t="shared" si="0"/>
        <v>756000</v>
      </c>
    </row>
    <row r="23" spans="1:12" ht="14.25" customHeight="1">
      <c r="A23" s="1"/>
      <c r="B23" s="16">
        <v>45565</v>
      </c>
      <c r="C23" s="17" t="s">
        <v>19</v>
      </c>
      <c r="D23" s="18"/>
      <c r="E23" s="18">
        <v>3000</v>
      </c>
      <c r="F23" s="18">
        <f t="shared" si="1"/>
        <v>730500</v>
      </c>
      <c r="H23" s="16">
        <v>45586</v>
      </c>
      <c r="I23" s="17" t="s">
        <v>27</v>
      </c>
      <c r="J23" s="20"/>
      <c r="K23" s="20">
        <v>14000</v>
      </c>
      <c r="L23" s="20">
        <f t="shared" si="0"/>
        <v>742000</v>
      </c>
    </row>
    <row r="24" spans="1:12" ht="14.25" customHeight="1">
      <c r="A24" s="1"/>
      <c r="B24" s="16">
        <v>45567</v>
      </c>
      <c r="C24" s="17" t="s">
        <v>15</v>
      </c>
      <c r="D24" s="18"/>
      <c r="E24" s="18">
        <v>6000</v>
      </c>
      <c r="F24" s="18">
        <f t="shared" si="1"/>
        <v>724500</v>
      </c>
      <c r="H24" s="16">
        <v>45586</v>
      </c>
      <c r="I24" s="17" t="s">
        <v>28</v>
      </c>
      <c r="J24" s="20"/>
      <c r="K24" s="20">
        <v>10500</v>
      </c>
      <c r="L24" s="20">
        <f t="shared" si="0"/>
        <v>731500</v>
      </c>
    </row>
    <row r="25" spans="1:12" ht="14.25" customHeight="1">
      <c r="A25" s="1"/>
      <c r="B25" s="26">
        <v>45568</v>
      </c>
      <c r="C25" s="27" t="s">
        <v>15</v>
      </c>
      <c r="D25" s="28"/>
      <c r="E25" s="28">
        <v>8000</v>
      </c>
      <c r="F25" s="28">
        <f t="shared" si="1"/>
        <v>716500</v>
      </c>
      <c r="H25" s="29">
        <v>45594</v>
      </c>
      <c r="I25" s="30" t="s">
        <v>14</v>
      </c>
      <c r="J25" s="31">
        <v>450000</v>
      </c>
      <c r="K25" s="31"/>
      <c r="L25" s="31">
        <f t="shared" si="0"/>
        <v>1181500</v>
      </c>
    </row>
    <row r="26" spans="1:12" ht="14.25" customHeight="1">
      <c r="A26" s="1"/>
      <c r="B26" s="118" t="s">
        <v>29</v>
      </c>
      <c r="C26" s="115"/>
      <c r="D26" s="32">
        <f>D10+D13+D16+D21</f>
        <v>920000</v>
      </c>
      <c r="E26" s="32">
        <f>E11+E12+E14+E15+E17+E18+E19+E20+E22+E23+E24+E25</f>
        <v>203500</v>
      </c>
      <c r="F26" s="32">
        <f>D26-E26</f>
        <v>716500</v>
      </c>
      <c r="H26" s="114" t="s">
        <v>30</v>
      </c>
      <c r="I26" s="115"/>
      <c r="J26" s="33">
        <f>J10+J15+J18+J25</f>
        <v>1780000</v>
      </c>
      <c r="K26" s="33">
        <f>K11+K12+K13+K14+K16+K17+K19+K20+K21+K22+K23+K24</f>
        <v>598500</v>
      </c>
      <c r="L26" s="33">
        <f>J26-K26</f>
        <v>1181500</v>
      </c>
    </row>
    <row r="27" spans="1:12" ht="14.25" customHeight="1">
      <c r="A27" s="1"/>
      <c r="H27" s="34" t="s">
        <v>31</v>
      </c>
      <c r="I27" s="35"/>
    </row>
    <row r="28" spans="1:12" ht="14.25" customHeight="1">
      <c r="A28" s="1"/>
      <c r="H28" s="1"/>
    </row>
    <row r="29" spans="1:12" ht="14.25" customHeight="1">
      <c r="A29" s="1"/>
      <c r="B29" s="4" t="s">
        <v>32</v>
      </c>
      <c r="C29" s="6"/>
      <c r="D29" s="6"/>
      <c r="E29" s="6"/>
      <c r="F29" s="6"/>
      <c r="H29" s="4" t="s">
        <v>33</v>
      </c>
      <c r="I29" s="6"/>
      <c r="J29" s="6"/>
      <c r="K29" s="6"/>
      <c r="L29" s="6"/>
    </row>
    <row r="30" spans="1:12" ht="14.25" customHeight="1">
      <c r="A30" s="1"/>
      <c r="B30" s="36" t="s">
        <v>6</v>
      </c>
      <c r="C30" s="37" t="s">
        <v>34</v>
      </c>
      <c r="D30" s="37" t="s">
        <v>8</v>
      </c>
      <c r="E30" s="37" t="s">
        <v>12</v>
      </c>
      <c r="F30" s="37" t="s">
        <v>35</v>
      </c>
      <c r="H30" s="38" t="s">
        <v>6</v>
      </c>
      <c r="I30" s="39" t="s">
        <v>34</v>
      </c>
      <c r="J30" s="39" t="s">
        <v>8</v>
      </c>
      <c r="K30" s="39" t="s">
        <v>12</v>
      </c>
      <c r="L30" s="39" t="s">
        <v>35</v>
      </c>
    </row>
    <row r="31" spans="1:12" ht="14.25" customHeight="1">
      <c r="A31" s="1"/>
      <c r="B31" s="9">
        <v>45597</v>
      </c>
      <c r="C31" s="10" t="s">
        <v>14</v>
      </c>
      <c r="D31" s="13">
        <v>450000</v>
      </c>
      <c r="E31" s="13"/>
      <c r="F31" s="13">
        <f>D31</f>
        <v>450000</v>
      </c>
      <c r="H31" s="9">
        <v>45632</v>
      </c>
      <c r="I31" s="40" t="s">
        <v>14</v>
      </c>
      <c r="J31" s="15">
        <v>450000</v>
      </c>
      <c r="K31" s="15"/>
      <c r="L31" s="15">
        <f>J31+K31</f>
        <v>450000</v>
      </c>
    </row>
    <row r="32" spans="1:12" ht="14.25" customHeight="1">
      <c r="A32" s="1"/>
      <c r="B32" s="21">
        <v>45604</v>
      </c>
      <c r="C32" s="22" t="s">
        <v>14</v>
      </c>
      <c r="D32" s="41">
        <v>450000</v>
      </c>
      <c r="E32" s="41"/>
      <c r="F32" s="41">
        <f>F31+D32</f>
        <v>900000</v>
      </c>
      <c r="H32" s="16">
        <v>45636</v>
      </c>
      <c r="I32" s="42" t="s">
        <v>36</v>
      </c>
      <c r="J32" s="20"/>
      <c r="K32" s="20">
        <v>247500</v>
      </c>
      <c r="L32" s="20">
        <f t="shared" ref="L32:L38" si="2">L31+J32-K32</f>
        <v>202500</v>
      </c>
    </row>
    <row r="33" spans="1:12" ht="14.25" customHeight="1">
      <c r="A33" s="1"/>
      <c r="B33" s="16">
        <v>45606</v>
      </c>
      <c r="C33" s="17" t="s">
        <v>20</v>
      </c>
      <c r="D33" s="43"/>
      <c r="E33" s="43">
        <v>30000</v>
      </c>
      <c r="F33" s="43">
        <f t="shared" ref="F33:F44" si="3">F32+D33-E33</f>
        <v>870000</v>
      </c>
      <c r="H33" s="16">
        <v>45636</v>
      </c>
      <c r="I33" s="42" t="s">
        <v>37</v>
      </c>
      <c r="J33" s="20"/>
      <c r="K33" s="20">
        <v>45000</v>
      </c>
      <c r="L33" s="20">
        <f t="shared" si="2"/>
        <v>157500</v>
      </c>
    </row>
    <row r="34" spans="1:12" ht="14.25" customHeight="1">
      <c r="A34" s="1"/>
      <c r="B34" s="21">
        <v>45611</v>
      </c>
      <c r="C34" s="22" t="s">
        <v>14</v>
      </c>
      <c r="D34" s="41">
        <v>450000</v>
      </c>
      <c r="E34" s="41"/>
      <c r="F34" s="41">
        <f t="shared" si="3"/>
        <v>1320000</v>
      </c>
      <c r="H34" s="16">
        <v>45636</v>
      </c>
      <c r="I34" s="42" t="s">
        <v>38</v>
      </c>
      <c r="J34" s="20"/>
      <c r="K34" s="20">
        <v>150000</v>
      </c>
      <c r="L34" s="20">
        <f t="shared" si="2"/>
        <v>7500</v>
      </c>
    </row>
    <row r="35" spans="1:12" ht="14.25" customHeight="1">
      <c r="A35" s="1"/>
      <c r="B35" s="16">
        <v>45616</v>
      </c>
      <c r="C35" s="17" t="s">
        <v>39</v>
      </c>
      <c r="D35" s="43"/>
      <c r="E35" s="43">
        <v>1125000</v>
      </c>
      <c r="F35" s="43">
        <f t="shared" si="3"/>
        <v>195000</v>
      </c>
      <c r="H35" s="21">
        <v>45639</v>
      </c>
      <c r="I35" s="44" t="s">
        <v>14</v>
      </c>
      <c r="J35" s="24">
        <v>450000</v>
      </c>
      <c r="K35" s="24"/>
      <c r="L35" s="24">
        <f t="shared" si="2"/>
        <v>457500</v>
      </c>
    </row>
    <row r="36" spans="1:12" ht="14.25" customHeight="1">
      <c r="A36" s="1"/>
      <c r="B36" s="16">
        <v>45648</v>
      </c>
      <c r="C36" s="17" t="s">
        <v>40</v>
      </c>
      <c r="D36" s="43"/>
      <c r="E36" s="43">
        <v>4000</v>
      </c>
      <c r="F36" s="43">
        <f t="shared" si="3"/>
        <v>191000</v>
      </c>
      <c r="H36" s="16">
        <v>45643</v>
      </c>
      <c r="I36" s="42" t="s">
        <v>41</v>
      </c>
      <c r="J36" s="20"/>
      <c r="K36" s="20">
        <v>270000</v>
      </c>
      <c r="L36" s="20">
        <f t="shared" si="2"/>
        <v>187500</v>
      </c>
    </row>
    <row r="37" spans="1:12" ht="14.25" customHeight="1">
      <c r="A37" s="1"/>
      <c r="B37" s="21">
        <v>45618</v>
      </c>
      <c r="C37" s="22" t="s">
        <v>14</v>
      </c>
      <c r="D37" s="41">
        <v>450000</v>
      </c>
      <c r="E37" s="41"/>
      <c r="F37" s="41">
        <f t="shared" si="3"/>
        <v>641000</v>
      </c>
      <c r="H37" s="21">
        <v>45646</v>
      </c>
      <c r="I37" s="44" t="s">
        <v>14</v>
      </c>
      <c r="J37" s="24">
        <v>450000</v>
      </c>
      <c r="K37" s="24"/>
      <c r="L37" s="24">
        <f t="shared" si="2"/>
        <v>637500</v>
      </c>
    </row>
    <row r="38" spans="1:12" ht="14.25" customHeight="1">
      <c r="A38" s="1"/>
      <c r="B38" s="16">
        <v>45623</v>
      </c>
      <c r="C38" s="17" t="s">
        <v>42</v>
      </c>
      <c r="D38" s="43"/>
      <c r="E38" s="43">
        <v>350000</v>
      </c>
      <c r="F38" s="43">
        <f t="shared" si="3"/>
        <v>291000</v>
      </c>
      <c r="H38" s="29">
        <v>45653</v>
      </c>
      <c r="I38" s="45" t="s">
        <v>14</v>
      </c>
      <c r="J38" s="31">
        <v>450000</v>
      </c>
      <c r="K38" s="31"/>
      <c r="L38" s="31">
        <f t="shared" si="2"/>
        <v>1087500</v>
      </c>
    </row>
    <row r="39" spans="1:12" ht="14.25" customHeight="1">
      <c r="A39" s="1"/>
      <c r="B39" s="21">
        <v>45625</v>
      </c>
      <c r="C39" s="22" t="s">
        <v>14</v>
      </c>
      <c r="D39" s="41">
        <v>450000</v>
      </c>
      <c r="E39" s="41"/>
      <c r="F39" s="41">
        <f t="shared" si="3"/>
        <v>741000</v>
      </c>
      <c r="H39" s="36" t="s">
        <v>29</v>
      </c>
      <c r="I39" s="36"/>
      <c r="J39" s="33">
        <f>J31+J35+J37+J38</f>
        <v>1800000</v>
      </c>
      <c r="K39" s="33">
        <f>K32+K33+K34+K36</f>
        <v>712500</v>
      </c>
      <c r="L39" s="33">
        <f>J39-K39</f>
        <v>1087500</v>
      </c>
    </row>
    <row r="40" spans="1:12" ht="14.25" customHeight="1">
      <c r="A40" s="1"/>
      <c r="B40" s="16">
        <v>45628</v>
      </c>
      <c r="C40" s="17" t="s">
        <v>42</v>
      </c>
      <c r="D40" s="43"/>
      <c r="E40" s="43">
        <v>365000</v>
      </c>
      <c r="F40" s="43">
        <f t="shared" si="3"/>
        <v>376000</v>
      </c>
      <c r="H40" s="1"/>
    </row>
    <row r="41" spans="1:12" ht="14.25" customHeight="1">
      <c r="A41" s="1"/>
      <c r="B41" s="16">
        <v>45628</v>
      </c>
      <c r="C41" s="17" t="s">
        <v>43</v>
      </c>
      <c r="D41" s="43"/>
      <c r="E41" s="43">
        <v>28000</v>
      </c>
      <c r="F41" s="43">
        <f t="shared" si="3"/>
        <v>348000</v>
      </c>
      <c r="H41" s="46" t="s">
        <v>44</v>
      </c>
      <c r="I41" s="46"/>
      <c r="J41" s="46"/>
      <c r="K41" s="46"/>
    </row>
    <row r="42" spans="1:12" ht="14.25" customHeight="1">
      <c r="A42" s="1"/>
      <c r="B42" s="16">
        <v>45628</v>
      </c>
      <c r="C42" s="17" t="s">
        <v>45</v>
      </c>
      <c r="D42" s="43"/>
      <c r="E42" s="43">
        <v>39000</v>
      </c>
      <c r="F42" s="43">
        <f t="shared" si="3"/>
        <v>309000</v>
      </c>
      <c r="H42" s="47" t="s">
        <v>46</v>
      </c>
      <c r="I42" s="48"/>
      <c r="J42" s="47"/>
      <c r="K42" s="47"/>
    </row>
    <row r="43" spans="1:12" ht="14.25" customHeight="1">
      <c r="A43" s="1"/>
      <c r="B43" s="16">
        <v>45631</v>
      </c>
      <c r="C43" s="17" t="s">
        <v>47</v>
      </c>
      <c r="D43" s="43"/>
      <c r="E43" s="43">
        <v>70000</v>
      </c>
      <c r="F43" s="43">
        <f t="shared" si="3"/>
        <v>239000</v>
      </c>
      <c r="H43" s="1"/>
    </row>
    <row r="44" spans="1:12" ht="14.25" customHeight="1">
      <c r="A44" s="1"/>
      <c r="B44" s="26">
        <v>45631</v>
      </c>
      <c r="C44" s="27" t="s">
        <v>48</v>
      </c>
      <c r="D44" s="49"/>
      <c r="E44" s="49">
        <v>30000</v>
      </c>
      <c r="F44" s="49">
        <f t="shared" si="3"/>
        <v>209000</v>
      </c>
      <c r="H44" s="1"/>
    </row>
    <row r="45" spans="1:12" ht="14.25" customHeight="1">
      <c r="A45" s="1"/>
      <c r="B45" s="114" t="s">
        <v>29</v>
      </c>
      <c r="C45" s="115"/>
      <c r="D45" s="50">
        <f>D31+D32+D34+D37+D39</f>
        <v>2250000</v>
      </c>
      <c r="E45" s="50">
        <f>E33+E35+E36+E38+E40+E41+E42+E43+E44</f>
        <v>2041000</v>
      </c>
      <c r="F45" s="50">
        <f>D45-E45</f>
        <v>209000</v>
      </c>
      <c r="H45" s="1"/>
    </row>
    <row r="46" spans="1:12" ht="14.25" customHeight="1">
      <c r="A46" s="1"/>
      <c r="H46" s="1"/>
    </row>
    <row r="47" spans="1:12" ht="14.25" customHeight="1">
      <c r="A47" s="1"/>
      <c r="H47" s="1"/>
    </row>
    <row r="48" spans="1:12" ht="14.25" customHeight="1">
      <c r="A48" s="1"/>
      <c r="H48" s="1"/>
    </row>
    <row r="49" spans="1:8" ht="14.25" customHeight="1">
      <c r="A49" s="1"/>
      <c r="H49" s="1"/>
    </row>
    <row r="50" spans="1:8" ht="14.25" customHeight="1">
      <c r="A50" s="1"/>
      <c r="H50" s="1"/>
    </row>
    <row r="51" spans="1:8" ht="14.25" customHeight="1">
      <c r="A51" s="1"/>
      <c r="H51" s="1"/>
    </row>
    <row r="52" spans="1:8" ht="14.25" customHeight="1">
      <c r="A52" s="1"/>
      <c r="H52" s="1"/>
    </row>
    <row r="53" spans="1:8" ht="14.25" customHeight="1">
      <c r="A53" s="1"/>
      <c r="H53" s="1"/>
    </row>
    <row r="54" spans="1:8" ht="14.25" customHeight="1">
      <c r="A54" s="1"/>
      <c r="H54" s="1"/>
    </row>
    <row r="55" spans="1:8" ht="14.25" customHeight="1">
      <c r="A55" s="1"/>
      <c r="H55" s="1"/>
    </row>
    <row r="56" spans="1:8" ht="14.25" customHeight="1">
      <c r="A56" s="1"/>
      <c r="H56" s="1"/>
    </row>
    <row r="57" spans="1:8" ht="14.25" customHeight="1">
      <c r="A57" s="1"/>
      <c r="H57" s="1"/>
    </row>
    <row r="58" spans="1:8" ht="14.25" customHeight="1">
      <c r="A58" s="1"/>
      <c r="H58" s="1"/>
    </row>
    <row r="59" spans="1:8" ht="14.25" customHeight="1">
      <c r="A59" s="1"/>
      <c r="H59" s="1"/>
    </row>
    <row r="60" spans="1:8" ht="14.25" customHeight="1">
      <c r="A60" s="1"/>
      <c r="H60" s="1"/>
    </row>
    <row r="61" spans="1:8" ht="14.25" customHeight="1">
      <c r="A61" s="1"/>
      <c r="H61" s="1"/>
    </row>
    <row r="62" spans="1:8" ht="14.25" customHeight="1">
      <c r="A62" s="1"/>
      <c r="H62" s="1"/>
    </row>
    <row r="63" spans="1:8" ht="14.25" customHeight="1">
      <c r="A63" s="1"/>
      <c r="H63" s="1"/>
    </row>
    <row r="64" spans="1:8" ht="14.25" customHeight="1">
      <c r="A64" s="1"/>
      <c r="H64" s="1"/>
    </row>
    <row r="65" spans="1:8" ht="14.25" customHeight="1">
      <c r="A65" s="1"/>
      <c r="H65" s="1"/>
    </row>
    <row r="66" spans="1:8" ht="14.25" customHeight="1">
      <c r="A66" s="1"/>
      <c r="H66" s="1"/>
    </row>
    <row r="67" spans="1:8" ht="14.25" customHeight="1">
      <c r="A67" s="1"/>
      <c r="H67" s="1"/>
    </row>
    <row r="68" spans="1:8" ht="14.25" customHeight="1">
      <c r="A68" s="1"/>
      <c r="H68" s="1"/>
    </row>
    <row r="69" spans="1:8" ht="14.25" customHeight="1">
      <c r="A69" s="1"/>
      <c r="H69" s="1"/>
    </row>
    <row r="70" spans="1:8" ht="14.25" customHeight="1">
      <c r="A70" s="1"/>
      <c r="H70" s="1"/>
    </row>
    <row r="71" spans="1:8" ht="14.25" customHeight="1">
      <c r="A71" s="1"/>
      <c r="H71" s="1"/>
    </row>
    <row r="72" spans="1:8" ht="14.25" customHeight="1">
      <c r="A72" s="1"/>
      <c r="H72" s="1"/>
    </row>
    <row r="73" spans="1:8" ht="14.25" customHeight="1">
      <c r="A73" s="1"/>
      <c r="H73" s="1"/>
    </row>
    <row r="74" spans="1:8" ht="14.25" customHeight="1">
      <c r="A74" s="1"/>
      <c r="H74" s="1"/>
    </row>
    <row r="75" spans="1:8" ht="14.25" customHeight="1">
      <c r="A75" s="1"/>
      <c r="H75" s="1"/>
    </row>
    <row r="76" spans="1:8" ht="14.25" customHeight="1">
      <c r="A76" s="1"/>
      <c r="H76" s="1"/>
    </row>
    <row r="77" spans="1:8" ht="14.25" customHeight="1">
      <c r="A77" s="1"/>
      <c r="H77" s="1"/>
    </row>
    <row r="78" spans="1:8" ht="14.25" customHeight="1">
      <c r="A78" s="1"/>
      <c r="H78" s="1"/>
    </row>
    <row r="79" spans="1:8" ht="14.25" customHeight="1">
      <c r="A79" s="1"/>
      <c r="H79" s="1"/>
    </row>
    <row r="80" spans="1:8" ht="14.25" customHeight="1">
      <c r="A80" s="1"/>
      <c r="H80" s="1"/>
    </row>
    <row r="81" spans="1:8" ht="14.25" customHeight="1">
      <c r="A81" s="1"/>
      <c r="H81" s="1"/>
    </row>
    <row r="82" spans="1:8" ht="14.25" customHeight="1">
      <c r="A82" s="1"/>
      <c r="H82" s="1"/>
    </row>
    <row r="83" spans="1:8" ht="14.25" customHeight="1">
      <c r="A83" s="1"/>
      <c r="H83" s="1"/>
    </row>
    <row r="84" spans="1:8" ht="14.25" customHeight="1">
      <c r="A84" s="1"/>
      <c r="H84" s="1"/>
    </row>
    <row r="85" spans="1:8" ht="14.25" customHeight="1">
      <c r="A85" s="1"/>
      <c r="H85" s="1"/>
    </row>
    <row r="86" spans="1:8" ht="14.25" customHeight="1">
      <c r="A86" s="1"/>
      <c r="H86" s="1"/>
    </row>
    <row r="87" spans="1:8" ht="14.25" customHeight="1">
      <c r="A87" s="1"/>
      <c r="H87" s="1"/>
    </row>
    <row r="88" spans="1:8" ht="14.25" customHeight="1">
      <c r="A88" s="1"/>
      <c r="H88" s="1"/>
    </row>
    <row r="89" spans="1:8" ht="14.25" customHeight="1">
      <c r="A89" s="1"/>
      <c r="H89" s="1"/>
    </row>
    <row r="90" spans="1:8" ht="14.25" customHeight="1">
      <c r="A90" s="1"/>
      <c r="H90" s="1"/>
    </row>
    <row r="91" spans="1:8" ht="14.25" customHeight="1">
      <c r="A91" s="1"/>
      <c r="H91" s="1"/>
    </row>
    <row r="92" spans="1:8" ht="14.25" customHeight="1">
      <c r="A92" s="1"/>
      <c r="H92" s="1"/>
    </row>
    <row r="93" spans="1:8" ht="14.25" customHeight="1">
      <c r="A93" s="1"/>
      <c r="H93" s="1"/>
    </row>
    <row r="94" spans="1:8" ht="14.25" customHeight="1">
      <c r="A94" s="1"/>
      <c r="H94" s="1"/>
    </row>
    <row r="95" spans="1:8" ht="14.25" customHeight="1">
      <c r="A95" s="1"/>
      <c r="H95" s="1"/>
    </row>
    <row r="96" spans="1:8" ht="14.25" customHeight="1">
      <c r="A96" s="1"/>
      <c r="H96" s="1"/>
    </row>
    <row r="97" spans="1:8" ht="14.25" customHeight="1">
      <c r="A97" s="1"/>
      <c r="H97" s="1"/>
    </row>
    <row r="98" spans="1:8" ht="14.25" customHeight="1">
      <c r="A98" s="1"/>
      <c r="H98" s="1"/>
    </row>
    <row r="99" spans="1:8" ht="14.25" customHeight="1">
      <c r="A99" s="1"/>
      <c r="H99" s="1"/>
    </row>
    <row r="100" spans="1:8" ht="14.25" customHeight="1">
      <c r="A100" s="1"/>
      <c r="H100" s="1"/>
    </row>
  </sheetData>
  <mergeCells count="7">
    <mergeCell ref="B45:C45"/>
    <mergeCell ref="H26:I26"/>
    <mergeCell ref="A3:L3"/>
    <mergeCell ref="A4:L4"/>
    <mergeCell ref="A5:L5"/>
    <mergeCell ref="B26:C26"/>
    <mergeCell ref="A6:L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F1" workbookViewId="0">
      <selection activeCell="F50" sqref="F50"/>
    </sheetView>
  </sheetViews>
  <sheetFormatPr defaultColWidth="14.44140625" defaultRowHeight="15" customHeight="1"/>
  <cols>
    <col min="1" max="1" width="8.6640625" customWidth="1"/>
    <col min="2" max="2" width="16.109375" customWidth="1"/>
    <col min="3" max="3" width="21.33203125" customWidth="1"/>
    <col min="4" max="4" width="18.33203125" customWidth="1"/>
    <col min="5" max="5" width="15.109375" customWidth="1"/>
    <col min="6" max="6" width="19.33203125" customWidth="1"/>
    <col min="7" max="7" width="8.6640625" customWidth="1"/>
    <col min="8" max="8" width="18.33203125" customWidth="1"/>
    <col min="9" max="9" width="40.88671875" customWidth="1"/>
    <col min="10" max="10" width="15.88671875" customWidth="1"/>
    <col min="11" max="11" width="19.6640625" customWidth="1"/>
    <col min="12" max="12" width="19.33203125" customWidth="1"/>
    <col min="13" max="14" width="8.6640625" customWidth="1"/>
  </cols>
  <sheetData>
    <row r="1" spans="1:14" ht="14.25" customHeight="1"/>
    <row r="2" spans="1:14" ht="14.25" customHeight="1"/>
    <row r="3" spans="1:14" ht="14.25" customHeight="1">
      <c r="A3" s="119" t="s">
        <v>49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ht="14.25" customHeight="1">
      <c r="A4" s="119" t="s">
        <v>50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14.25" customHeight="1">
      <c r="A5" s="120" t="s">
        <v>51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</row>
    <row r="6" spans="1:14" ht="14.25" customHeight="1">
      <c r="A6" s="119" t="s">
        <v>52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</row>
    <row r="7" spans="1:14" ht="14.25" customHeight="1"/>
    <row r="8" spans="1:14" ht="14.25" customHeight="1"/>
    <row r="9" spans="1:14" ht="14.25" customHeight="1">
      <c r="B9" s="121" t="s">
        <v>53</v>
      </c>
      <c r="C9" s="117"/>
      <c r="D9" s="51"/>
      <c r="E9" s="51"/>
      <c r="F9" s="51"/>
      <c r="H9" s="52" t="s">
        <v>54</v>
      </c>
      <c r="I9" s="52"/>
    </row>
    <row r="10" spans="1:14" ht="14.25" customHeight="1">
      <c r="B10" s="53" t="s">
        <v>55</v>
      </c>
      <c r="C10" s="53" t="s">
        <v>11</v>
      </c>
      <c r="D10" s="53" t="s">
        <v>56</v>
      </c>
      <c r="E10" s="53" t="s">
        <v>12</v>
      </c>
      <c r="F10" s="53" t="s">
        <v>35</v>
      </c>
      <c r="H10" s="53" t="s">
        <v>55</v>
      </c>
      <c r="I10" s="53" t="s">
        <v>11</v>
      </c>
      <c r="J10" s="53" t="s">
        <v>56</v>
      </c>
      <c r="K10" s="53" t="s">
        <v>12</v>
      </c>
      <c r="L10" s="53" t="s">
        <v>35</v>
      </c>
    </row>
    <row r="11" spans="1:14" ht="14.25" customHeight="1">
      <c r="B11" s="54">
        <v>45664</v>
      </c>
      <c r="C11" s="53" t="s">
        <v>57</v>
      </c>
      <c r="D11" s="55"/>
      <c r="E11" s="56">
        <v>4000</v>
      </c>
      <c r="F11" s="57">
        <v>3194500</v>
      </c>
      <c r="H11" s="58">
        <v>45723</v>
      </c>
      <c r="I11" s="59" t="s">
        <v>14</v>
      </c>
      <c r="J11" s="60">
        <v>450000</v>
      </c>
      <c r="K11" s="59"/>
      <c r="L11" s="60">
        <f>J11+E17</f>
        <v>463500</v>
      </c>
    </row>
    <row r="12" spans="1:14" ht="14.25" customHeight="1">
      <c r="B12" s="54">
        <v>45665</v>
      </c>
      <c r="C12" s="53" t="s">
        <v>58</v>
      </c>
      <c r="D12" s="55"/>
      <c r="E12" s="56">
        <v>6000</v>
      </c>
      <c r="F12" s="57">
        <v>3184500</v>
      </c>
      <c r="H12" s="58">
        <v>45730</v>
      </c>
      <c r="I12" s="59" t="s">
        <v>14</v>
      </c>
      <c r="J12" s="60">
        <v>450000</v>
      </c>
      <c r="K12" s="59"/>
      <c r="L12" s="61">
        <f>J12+L11</f>
        <v>913500</v>
      </c>
    </row>
    <row r="13" spans="1:14" ht="14.25" customHeight="1">
      <c r="B13" s="54">
        <v>45666</v>
      </c>
      <c r="C13" s="53" t="s">
        <v>58</v>
      </c>
      <c r="D13" s="55"/>
      <c r="E13" s="56">
        <v>6000</v>
      </c>
      <c r="F13" s="57">
        <v>3178500</v>
      </c>
      <c r="H13" s="62"/>
      <c r="L13" s="63"/>
    </row>
    <row r="14" spans="1:14" ht="14.25" customHeight="1">
      <c r="B14" s="35"/>
      <c r="C14" s="35"/>
      <c r="D14" s="35"/>
      <c r="E14" s="35"/>
      <c r="F14" s="35"/>
      <c r="H14" s="62"/>
      <c r="L14" s="63"/>
    </row>
    <row r="15" spans="1:14" ht="14.25" customHeight="1">
      <c r="B15" s="35" t="s">
        <v>59</v>
      </c>
      <c r="C15" s="35"/>
      <c r="D15" s="35"/>
      <c r="E15" s="35" t="s">
        <v>60</v>
      </c>
      <c r="F15" s="35"/>
      <c r="H15" s="62"/>
      <c r="L15" s="63"/>
    </row>
    <row r="16" spans="1:14" ht="14.25" customHeight="1">
      <c r="B16" s="35" t="s">
        <v>61</v>
      </c>
      <c r="C16" s="35"/>
      <c r="D16" s="35"/>
      <c r="E16" s="35" t="s">
        <v>62</v>
      </c>
      <c r="F16" s="35"/>
      <c r="L16" s="63"/>
    </row>
    <row r="17" spans="1:12" ht="14.25" customHeight="1">
      <c r="B17" s="35" t="s">
        <v>63</v>
      </c>
      <c r="C17" s="35"/>
      <c r="D17" s="35"/>
      <c r="E17" s="64">
        <v>13500</v>
      </c>
      <c r="F17" s="35"/>
      <c r="L17" s="63"/>
    </row>
    <row r="18" spans="1:12" ht="14.25" customHeight="1">
      <c r="B18" s="35" t="s">
        <v>64</v>
      </c>
      <c r="C18" s="35"/>
      <c r="D18" s="65"/>
      <c r="E18" s="35"/>
      <c r="F18" s="35"/>
    </row>
    <row r="19" spans="1:12" ht="14.25" customHeight="1">
      <c r="B19" s="35" t="s">
        <v>65</v>
      </c>
      <c r="C19" s="35"/>
      <c r="D19" s="35"/>
      <c r="E19" s="35"/>
      <c r="F19" s="35"/>
    </row>
    <row r="20" spans="1:12" ht="14.25" customHeight="1">
      <c r="B20" s="64"/>
    </row>
    <row r="21" spans="1:12" ht="14.25" customHeight="1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ht="14.25" customHeight="1">
      <c r="B22" s="35" t="s">
        <v>66</v>
      </c>
      <c r="C22" s="35"/>
      <c r="D22" s="35"/>
      <c r="E22" s="35"/>
      <c r="F22" s="35"/>
      <c r="G22" s="35"/>
      <c r="H22" s="35" t="s">
        <v>67</v>
      </c>
      <c r="I22" s="35"/>
      <c r="J22" s="35"/>
      <c r="K22" s="35"/>
      <c r="L22" s="35"/>
    </row>
    <row r="23" spans="1:12" ht="14.25" customHeight="1">
      <c r="B23" s="53" t="s">
        <v>55</v>
      </c>
      <c r="C23" s="56" t="s">
        <v>11</v>
      </c>
      <c r="D23" s="56" t="s">
        <v>56</v>
      </c>
      <c r="E23" s="53" t="s">
        <v>12</v>
      </c>
      <c r="F23" s="53" t="s">
        <v>35</v>
      </c>
      <c r="G23" s="35"/>
      <c r="H23" s="54" t="s">
        <v>55</v>
      </c>
      <c r="I23" s="56" t="s">
        <v>11</v>
      </c>
      <c r="J23" s="56" t="s">
        <v>56</v>
      </c>
      <c r="K23" s="56" t="s">
        <v>12</v>
      </c>
      <c r="L23" s="56" t="s">
        <v>35</v>
      </c>
    </row>
    <row r="24" spans="1:12" ht="14.25" customHeight="1">
      <c r="A24" s="66"/>
      <c r="B24" s="54">
        <v>45758</v>
      </c>
      <c r="C24" s="53" t="s">
        <v>14</v>
      </c>
      <c r="D24" s="57">
        <v>450000</v>
      </c>
      <c r="E24" s="57"/>
      <c r="F24" s="56">
        <f>L12+D24</f>
        <v>1363500</v>
      </c>
      <c r="G24" s="67"/>
      <c r="H24" s="68">
        <v>45778</v>
      </c>
      <c r="I24" s="69" t="s">
        <v>68</v>
      </c>
      <c r="J24" s="61"/>
      <c r="K24" s="61">
        <v>72000</v>
      </c>
      <c r="L24" s="61">
        <f>F33-K24</f>
        <v>902500</v>
      </c>
    </row>
    <row r="25" spans="1:12" ht="14.25" customHeight="1">
      <c r="A25" s="66"/>
      <c r="B25" s="70">
        <v>45759</v>
      </c>
      <c r="C25" s="53" t="s">
        <v>69</v>
      </c>
      <c r="D25" s="57"/>
      <c r="E25" s="57">
        <v>900000</v>
      </c>
      <c r="F25" s="56">
        <f t="shared" ref="F25:F31" si="0">F24-E25</f>
        <v>463500</v>
      </c>
      <c r="G25" s="67"/>
      <c r="H25" s="68">
        <v>45778</v>
      </c>
      <c r="I25" s="69" t="s">
        <v>70</v>
      </c>
      <c r="J25" s="61"/>
      <c r="K25" s="61">
        <v>14000</v>
      </c>
      <c r="L25" s="61">
        <f t="shared" ref="L25:L26" si="1">L24-K25</f>
        <v>888500</v>
      </c>
    </row>
    <row r="26" spans="1:12" ht="14.25" customHeight="1">
      <c r="A26" s="66"/>
      <c r="B26" s="70">
        <v>45759</v>
      </c>
      <c r="C26" s="53" t="s">
        <v>71</v>
      </c>
      <c r="D26" s="57"/>
      <c r="E26" s="57">
        <v>85000</v>
      </c>
      <c r="F26" s="56">
        <f t="shared" si="0"/>
        <v>378500</v>
      </c>
      <c r="G26" s="67"/>
      <c r="H26" s="68">
        <v>45778</v>
      </c>
      <c r="I26" s="69" t="s">
        <v>72</v>
      </c>
      <c r="J26" s="61"/>
      <c r="K26" s="61">
        <v>58000</v>
      </c>
      <c r="L26" s="61">
        <f t="shared" si="1"/>
        <v>830500</v>
      </c>
    </row>
    <row r="27" spans="1:12" ht="14.25" customHeight="1">
      <c r="A27" s="66"/>
      <c r="B27" s="70">
        <v>45759</v>
      </c>
      <c r="C27" s="53" t="s">
        <v>73</v>
      </c>
      <c r="D27" s="57"/>
      <c r="E27" s="57">
        <v>105000</v>
      </c>
      <c r="F27" s="56">
        <f t="shared" si="0"/>
        <v>273500</v>
      </c>
      <c r="G27" s="67"/>
      <c r="H27" s="54">
        <v>45779</v>
      </c>
      <c r="I27" s="53" t="s">
        <v>14</v>
      </c>
      <c r="J27" s="71">
        <v>450000</v>
      </c>
      <c r="K27" s="71"/>
      <c r="L27" s="71">
        <f t="shared" ref="L27:L28" si="2">L26+J27</f>
        <v>1280500</v>
      </c>
    </row>
    <row r="28" spans="1:12" ht="14.25" customHeight="1">
      <c r="A28" s="66"/>
      <c r="B28" s="54">
        <v>45759</v>
      </c>
      <c r="C28" s="53" t="s">
        <v>74</v>
      </c>
      <c r="D28" s="57"/>
      <c r="E28" s="57">
        <v>45000</v>
      </c>
      <c r="F28" s="56">
        <f t="shared" si="0"/>
        <v>228500</v>
      </c>
      <c r="G28" s="67"/>
      <c r="H28" s="70">
        <v>45786</v>
      </c>
      <c r="I28" s="53" t="s">
        <v>14</v>
      </c>
      <c r="J28" s="71">
        <v>450000</v>
      </c>
      <c r="K28" s="71"/>
      <c r="L28" s="71">
        <f t="shared" si="2"/>
        <v>1730500</v>
      </c>
    </row>
    <row r="29" spans="1:12" ht="14.25" customHeight="1">
      <c r="A29" s="66"/>
      <c r="B29" s="54">
        <v>45761</v>
      </c>
      <c r="C29" s="53" t="s">
        <v>70</v>
      </c>
      <c r="D29" s="57"/>
      <c r="E29" s="56">
        <v>28000</v>
      </c>
      <c r="F29" s="56">
        <f t="shared" si="0"/>
        <v>200500</v>
      </c>
      <c r="G29" s="67"/>
      <c r="H29" s="70">
        <v>45786</v>
      </c>
      <c r="I29" s="53" t="s">
        <v>75</v>
      </c>
      <c r="J29" s="71"/>
      <c r="K29" s="71">
        <v>865000</v>
      </c>
      <c r="L29" s="71">
        <f t="shared" ref="L29:L32" si="3">L28-K29</f>
        <v>865500</v>
      </c>
    </row>
    <row r="30" spans="1:12" ht="14.25" customHeight="1">
      <c r="A30" s="66"/>
      <c r="B30" s="54">
        <v>45761</v>
      </c>
      <c r="C30" s="53" t="s">
        <v>76</v>
      </c>
      <c r="D30" s="53"/>
      <c r="E30" s="56">
        <v>84000</v>
      </c>
      <c r="F30" s="56">
        <f t="shared" si="0"/>
        <v>116500</v>
      </c>
      <c r="G30" s="67"/>
      <c r="H30" s="70">
        <v>45786</v>
      </c>
      <c r="I30" s="53" t="s">
        <v>77</v>
      </c>
      <c r="J30" s="71"/>
      <c r="K30" s="71">
        <v>13000</v>
      </c>
      <c r="L30" s="71">
        <f t="shared" si="3"/>
        <v>852500</v>
      </c>
    </row>
    <row r="31" spans="1:12" ht="14.25" customHeight="1">
      <c r="A31" s="66"/>
      <c r="B31" s="54">
        <v>45761</v>
      </c>
      <c r="C31" s="53" t="s">
        <v>78</v>
      </c>
      <c r="D31" s="53"/>
      <c r="E31" s="56">
        <v>42000</v>
      </c>
      <c r="F31" s="56">
        <f t="shared" si="0"/>
        <v>74500</v>
      </c>
      <c r="G31" s="67"/>
      <c r="H31" s="70">
        <v>45792</v>
      </c>
      <c r="I31" s="53" t="s">
        <v>79</v>
      </c>
      <c r="J31" s="71"/>
      <c r="K31" s="71">
        <v>400000</v>
      </c>
      <c r="L31" s="71">
        <f t="shared" si="3"/>
        <v>452500</v>
      </c>
    </row>
    <row r="32" spans="1:12" ht="14.25" customHeight="1">
      <c r="A32" s="66"/>
      <c r="B32" s="54">
        <v>45765</v>
      </c>
      <c r="C32" s="53" t="s">
        <v>14</v>
      </c>
      <c r="D32" s="57">
        <v>450000</v>
      </c>
      <c r="E32" s="57"/>
      <c r="F32" s="56">
        <f t="shared" ref="F32:F33" si="4">F31+D32</f>
        <v>524500</v>
      </c>
      <c r="G32" s="67"/>
      <c r="H32" s="70">
        <v>45794</v>
      </c>
      <c r="I32" s="53" t="s">
        <v>80</v>
      </c>
      <c r="J32" s="71"/>
      <c r="K32" s="71">
        <v>69000</v>
      </c>
      <c r="L32" s="71">
        <f t="shared" si="3"/>
        <v>383500</v>
      </c>
    </row>
    <row r="33" spans="1:12" ht="14.25" customHeight="1">
      <c r="A33" s="66"/>
      <c r="B33" s="54">
        <v>45772</v>
      </c>
      <c r="C33" s="53" t="s">
        <v>14</v>
      </c>
      <c r="D33" s="57">
        <v>450000</v>
      </c>
      <c r="E33" s="57"/>
      <c r="F33" s="56">
        <f t="shared" si="4"/>
        <v>974500</v>
      </c>
      <c r="G33" s="67"/>
      <c r="H33" s="70">
        <v>45800</v>
      </c>
      <c r="I33" s="53" t="s">
        <v>14</v>
      </c>
      <c r="J33" s="71">
        <v>450000</v>
      </c>
      <c r="K33" s="71"/>
      <c r="L33" s="71">
        <f>L32+J33</f>
        <v>833500</v>
      </c>
    </row>
    <row r="34" spans="1:12" ht="14.25" customHeight="1">
      <c r="B34" s="67"/>
      <c r="C34" s="67"/>
      <c r="D34" s="67"/>
      <c r="E34" s="67"/>
      <c r="F34" s="67"/>
      <c r="G34" s="35"/>
      <c r="I34" s="66"/>
    </row>
    <row r="35" spans="1:12" ht="14.25" customHeight="1">
      <c r="B35" s="66"/>
      <c r="C35" s="66"/>
      <c r="D35" s="66"/>
      <c r="E35" s="66"/>
      <c r="F35" s="66"/>
      <c r="G35" s="35"/>
      <c r="I35" s="66"/>
    </row>
    <row r="36" spans="1:12" ht="14.25" customHeight="1">
      <c r="B36" s="67" t="s">
        <v>81</v>
      </c>
      <c r="C36" s="67"/>
      <c r="D36" s="67"/>
      <c r="E36" s="67"/>
      <c r="F36" s="67"/>
      <c r="G36" s="35"/>
      <c r="H36" s="35" t="s">
        <v>82</v>
      </c>
      <c r="I36" s="67"/>
      <c r="J36" s="35"/>
      <c r="K36" s="35"/>
      <c r="L36" s="35"/>
    </row>
    <row r="37" spans="1:12" ht="14.25" customHeight="1">
      <c r="B37" s="54" t="s">
        <v>55</v>
      </c>
      <c r="C37" s="56" t="s">
        <v>11</v>
      </c>
      <c r="D37" s="56" t="s">
        <v>56</v>
      </c>
      <c r="E37" s="56" t="s">
        <v>12</v>
      </c>
      <c r="F37" s="56" t="s">
        <v>35</v>
      </c>
      <c r="G37" s="35"/>
      <c r="H37" s="70" t="s">
        <v>55</v>
      </c>
      <c r="I37" s="56" t="s">
        <v>11</v>
      </c>
      <c r="J37" s="57" t="s">
        <v>56</v>
      </c>
      <c r="K37" s="57" t="s">
        <v>12</v>
      </c>
      <c r="L37" s="57" t="s">
        <v>35</v>
      </c>
    </row>
    <row r="38" spans="1:12" ht="14.25" customHeight="1">
      <c r="A38" s="66"/>
      <c r="B38" s="68">
        <v>45811</v>
      </c>
      <c r="C38" s="69" t="s">
        <v>83</v>
      </c>
      <c r="D38" s="72"/>
      <c r="E38" s="72">
        <v>210000</v>
      </c>
      <c r="F38" s="72">
        <f>L33-E38</f>
        <v>623500</v>
      </c>
      <c r="G38" s="67"/>
      <c r="H38" s="70">
        <v>45839</v>
      </c>
      <c r="I38" s="53" t="s">
        <v>58</v>
      </c>
      <c r="J38" s="73"/>
      <c r="K38" s="73">
        <v>8000</v>
      </c>
      <c r="L38" s="73">
        <f>F48-K38</f>
        <v>2295500</v>
      </c>
    </row>
    <row r="39" spans="1:12" ht="14.25" customHeight="1">
      <c r="A39" s="66"/>
      <c r="B39" s="54">
        <v>45814</v>
      </c>
      <c r="C39" s="54" t="s">
        <v>84</v>
      </c>
      <c r="D39" s="56">
        <v>450000</v>
      </c>
      <c r="E39" s="56"/>
      <c r="F39" s="56">
        <f t="shared" ref="F39:F40" si="5">F38+D39</f>
        <v>1073500</v>
      </c>
      <c r="G39" s="67"/>
      <c r="H39" s="70">
        <v>45841</v>
      </c>
      <c r="I39" s="53" t="s">
        <v>85</v>
      </c>
      <c r="J39" s="73"/>
      <c r="K39" s="73">
        <v>4000</v>
      </c>
      <c r="L39" s="73">
        <f t="shared" ref="L39:L41" si="6">L38-K39</f>
        <v>2291500</v>
      </c>
    </row>
    <row r="40" spans="1:12" ht="14.25" customHeight="1">
      <c r="A40" s="66"/>
      <c r="B40" s="54">
        <v>45821</v>
      </c>
      <c r="C40" s="54" t="s">
        <v>84</v>
      </c>
      <c r="D40" s="56">
        <v>450000</v>
      </c>
      <c r="E40" s="56"/>
      <c r="F40" s="56">
        <f t="shared" si="5"/>
        <v>1523500</v>
      </c>
      <c r="G40" s="67"/>
      <c r="H40" s="70">
        <v>45841</v>
      </c>
      <c r="I40" s="53" t="s">
        <v>85</v>
      </c>
      <c r="J40" s="73"/>
      <c r="K40" s="73">
        <v>4000</v>
      </c>
      <c r="L40" s="73">
        <f t="shared" si="6"/>
        <v>2287500</v>
      </c>
    </row>
    <row r="41" spans="1:12" ht="14.25" customHeight="1">
      <c r="A41" s="66"/>
      <c r="B41" s="54">
        <v>45827</v>
      </c>
      <c r="C41" s="54" t="s">
        <v>85</v>
      </c>
      <c r="D41" s="57"/>
      <c r="E41" s="57">
        <v>4000</v>
      </c>
      <c r="F41" s="57">
        <f t="shared" ref="F41:F42" si="7">F40-E41</f>
        <v>1519500</v>
      </c>
      <c r="G41" s="67"/>
      <c r="H41" s="70">
        <v>45842</v>
      </c>
      <c r="I41" s="53" t="s">
        <v>85</v>
      </c>
      <c r="J41" s="73"/>
      <c r="K41" s="73">
        <v>4000</v>
      </c>
      <c r="L41" s="73">
        <f t="shared" si="6"/>
        <v>2283500</v>
      </c>
    </row>
    <row r="42" spans="1:12" ht="14.25" customHeight="1">
      <c r="A42" s="66"/>
      <c r="B42" s="54">
        <v>45828</v>
      </c>
      <c r="C42" s="54" t="s">
        <v>85</v>
      </c>
      <c r="D42" s="57"/>
      <c r="E42" s="57">
        <v>4000</v>
      </c>
      <c r="F42" s="57">
        <f t="shared" si="7"/>
        <v>1515500</v>
      </c>
      <c r="G42" s="67"/>
      <c r="H42" s="70">
        <v>45842</v>
      </c>
      <c r="I42" s="53" t="s">
        <v>84</v>
      </c>
      <c r="J42" s="73">
        <v>450000</v>
      </c>
      <c r="K42" s="73"/>
      <c r="L42" s="73">
        <f>L41+J42</f>
        <v>2733500</v>
      </c>
    </row>
    <row r="43" spans="1:12" ht="14.25" customHeight="1">
      <c r="A43" s="66"/>
      <c r="B43" s="54">
        <v>45828</v>
      </c>
      <c r="C43" s="54" t="s">
        <v>84</v>
      </c>
      <c r="D43" s="57">
        <v>450000</v>
      </c>
      <c r="E43" s="57"/>
      <c r="F43" s="57">
        <f>F42+D43</f>
        <v>1965500</v>
      </c>
      <c r="G43" s="67"/>
      <c r="H43" s="70">
        <v>45842</v>
      </c>
      <c r="I43" s="57" t="s">
        <v>86</v>
      </c>
      <c r="K43" s="73">
        <v>90000</v>
      </c>
      <c r="L43" s="73">
        <f t="shared" ref="L43:L48" si="8">L42-K43</f>
        <v>2643500</v>
      </c>
    </row>
    <row r="44" spans="1:12" ht="14.25" customHeight="1">
      <c r="A44" s="66"/>
      <c r="B44" s="54">
        <v>45833</v>
      </c>
      <c r="C44" s="54" t="s">
        <v>85</v>
      </c>
      <c r="D44" s="57"/>
      <c r="E44" s="57">
        <v>4000</v>
      </c>
      <c r="F44" s="57">
        <f t="shared" ref="F44:F45" si="9">F43-E44</f>
        <v>1961500</v>
      </c>
      <c r="G44" s="67"/>
      <c r="H44" s="70">
        <v>45845</v>
      </c>
      <c r="I44" s="53" t="s">
        <v>85</v>
      </c>
      <c r="J44" s="73"/>
      <c r="K44" s="73">
        <v>4000</v>
      </c>
      <c r="L44" s="73">
        <f t="shared" si="8"/>
        <v>2639500</v>
      </c>
    </row>
    <row r="45" spans="1:12" ht="14.25" customHeight="1">
      <c r="A45" s="66"/>
      <c r="B45" s="54">
        <v>45834</v>
      </c>
      <c r="C45" s="54" t="s">
        <v>85</v>
      </c>
      <c r="D45" s="57"/>
      <c r="E45" s="57">
        <v>4000</v>
      </c>
      <c r="F45" s="57">
        <f t="shared" si="9"/>
        <v>1957500</v>
      </c>
      <c r="G45" s="67"/>
      <c r="H45" s="70">
        <v>45846</v>
      </c>
      <c r="I45" s="53" t="s">
        <v>87</v>
      </c>
      <c r="J45" s="73"/>
      <c r="K45" s="73">
        <v>7000</v>
      </c>
      <c r="L45" s="73">
        <f t="shared" si="8"/>
        <v>2632500</v>
      </c>
    </row>
    <row r="46" spans="1:12" ht="14.25" customHeight="1">
      <c r="A46" s="66"/>
      <c r="B46" s="54">
        <v>45835</v>
      </c>
      <c r="C46" s="54" t="s">
        <v>14</v>
      </c>
      <c r="D46" s="57">
        <v>450000</v>
      </c>
      <c r="E46" s="57"/>
      <c r="F46" s="57">
        <f>F45+D46</f>
        <v>2407500</v>
      </c>
      <c r="G46" s="67"/>
      <c r="H46" s="74">
        <v>45847</v>
      </c>
      <c r="I46" s="53" t="s">
        <v>86</v>
      </c>
      <c r="J46" s="75"/>
      <c r="K46" s="73">
        <v>66000</v>
      </c>
      <c r="L46" s="73">
        <f t="shared" si="8"/>
        <v>2566500</v>
      </c>
    </row>
    <row r="47" spans="1:12" ht="14.25" customHeight="1">
      <c r="A47" s="66"/>
      <c r="B47" s="54">
        <v>45835</v>
      </c>
      <c r="C47" s="54" t="s">
        <v>88</v>
      </c>
      <c r="D47" s="57"/>
      <c r="E47" s="57">
        <v>100000</v>
      </c>
      <c r="F47" s="57">
        <f t="shared" ref="F47:F48" si="10">F46-E47</f>
        <v>2307500</v>
      </c>
      <c r="G47" s="67"/>
      <c r="H47" s="74">
        <v>45848</v>
      </c>
      <c r="I47" s="53" t="s">
        <v>85</v>
      </c>
      <c r="J47" s="75"/>
      <c r="K47" s="73">
        <v>4000</v>
      </c>
      <c r="L47" s="73">
        <f t="shared" si="8"/>
        <v>2562500</v>
      </c>
    </row>
    <row r="48" spans="1:12" ht="14.25" customHeight="1">
      <c r="A48" s="66"/>
      <c r="B48" s="54">
        <v>45838</v>
      </c>
      <c r="C48" s="54" t="s">
        <v>85</v>
      </c>
      <c r="D48" s="57"/>
      <c r="E48" s="57">
        <v>4000</v>
      </c>
      <c r="F48" s="57">
        <f t="shared" si="10"/>
        <v>2303500</v>
      </c>
      <c r="G48" s="67"/>
      <c r="H48" s="70">
        <v>45849</v>
      </c>
      <c r="I48" s="76" t="s">
        <v>89</v>
      </c>
      <c r="J48" s="73"/>
      <c r="K48" s="73">
        <v>12000</v>
      </c>
      <c r="L48" s="73">
        <f t="shared" si="8"/>
        <v>2550500</v>
      </c>
    </row>
    <row r="49" spans="7:12" ht="14.25" customHeight="1">
      <c r="G49" s="66"/>
      <c r="H49" s="70">
        <v>45849</v>
      </c>
      <c r="I49" s="69" t="s">
        <v>84</v>
      </c>
      <c r="J49" s="61">
        <v>450000</v>
      </c>
      <c r="K49" s="59"/>
      <c r="L49" s="77">
        <f>L48+J49</f>
        <v>3000500</v>
      </c>
    </row>
    <row r="50" spans="7:12" ht="14.25" customHeight="1">
      <c r="G50" s="66"/>
      <c r="H50" s="70">
        <v>45849</v>
      </c>
      <c r="I50" s="53" t="s">
        <v>90</v>
      </c>
      <c r="J50" s="55"/>
      <c r="K50" s="71">
        <v>1232000</v>
      </c>
      <c r="L50" s="78">
        <f>L49-K50</f>
        <v>1768500</v>
      </c>
    </row>
    <row r="51" spans="7:12" ht="14.25" customHeight="1">
      <c r="H51" s="51"/>
      <c r="I51" s="79"/>
      <c r="J51" s="51"/>
      <c r="K51" s="80"/>
    </row>
    <row r="52" spans="7:12" ht="15" customHeight="1">
      <c r="H52" s="35" t="s">
        <v>91</v>
      </c>
      <c r="I52" s="67"/>
      <c r="J52" s="35"/>
      <c r="K52" s="35"/>
    </row>
    <row r="53" spans="7:12" ht="15" customHeight="1">
      <c r="H53" s="35" t="s">
        <v>92</v>
      </c>
      <c r="I53" s="67"/>
      <c r="J53" s="35"/>
      <c r="K53" s="35"/>
    </row>
    <row r="54" spans="7:12" ht="15" customHeight="1">
      <c r="H54" s="35" t="s">
        <v>93</v>
      </c>
      <c r="I54" s="67"/>
      <c r="J54" s="35"/>
      <c r="K54" s="35"/>
    </row>
    <row r="55" spans="7:12" ht="15" customHeight="1">
      <c r="H55" s="35" t="s">
        <v>94</v>
      </c>
      <c r="I55" s="67"/>
      <c r="J55" s="35"/>
      <c r="K55" s="35"/>
    </row>
    <row r="56" spans="7:12" ht="14.25" customHeight="1">
      <c r="H56" s="81" t="s">
        <v>95</v>
      </c>
      <c r="I56" s="82"/>
      <c r="J56" s="35"/>
      <c r="K56" s="35"/>
    </row>
    <row r="57" spans="7:12" ht="14.25" customHeight="1">
      <c r="H57" s="35"/>
      <c r="I57" s="67"/>
      <c r="J57" s="35"/>
      <c r="K57" s="35"/>
    </row>
    <row r="58" spans="7:12" ht="14.25" customHeight="1">
      <c r="G58" s="35"/>
      <c r="H58" s="54">
        <v>45858</v>
      </c>
      <c r="I58" s="53" t="s">
        <v>96</v>
      </c>
      <c r="J58" s="55"/>
      <c r="K58" s="71">
        <v>30000</v>
      </c>
      <c r="L58" s="83"/>
    </row>
    <row r="59" spans="7:12" ht="14.25" customHeight="1">
      <c r="G59" s="35"/>
      <c r="H59" s="54"/>
      <c r="I59" s="53" t="s">
        <v>97</v>
      </c>
      <c r="J59" s="55"/>
      <c r="K59" s="73">
        <v>264000</v>
      </c>
      <c r="L59" s="83"/>
    </row>
    <row r="60" spans="7:12" ht="14.25" customHeight="1">
      <c r="G60" s="35"/>
      <c r="H60" s="53"/>
      <c r="I60" s="53" t="s">
        <v>98</v>
      </c>
      <c r="J60" s="55"/>
      <c r="K60" s="71">
        <v>90000</v>
      </c>
      <c r="L60" s="55"/>
    </row>
    <row r="61" spans="7:12" ht="14.25" customHeight="1">
      <c r="G61" s="35"/>
      <c r="H61" s="55"/>
      <c r="I61" s="53" t="s">
        <v>99</v>
      </c>
      <c r="J61" s="55"/>
      <c r="K61" s="71">
        <v>15000</v>
      </c>
      <c r="L61" s="71"/>
    </row>
    <row r="62" spans="7:12" ht="14.25" customHeight="1">
      <c r="G62" s="67"/>
      <c r="H62" s="53"/>
      <c r="I62" s="53" t="s">
        <v>100</v>
      </c>
      <c r="J62" s="55"/>
      <c r="K62" s="71">
        <v>20000</v>
      </c>
      <c r="L62" s="71">
        <f>L50-K58-K59-K60-K61-K62</f>
        <v>1349500</v>
      </c>
    </row>
    <row r="63" spans="7:12" ht="14.25" customHeight="1">
      <c r="G63" s="67"/>
      <c r="H63" s="54">
        <v>38556</v>
      </c>
      <c r="I63" s="53" t="s">
        <v>101</v>
      </c>
      <c r="J63" s="55"/>
      <c r="K63" s="71">
        <v>87999</v>
      </c>
      <c r="L63" s="71">
        <f>L62-K63</f>
        <v>1261501</v>
      </c>
    </row>
    <row r="64" spans="7:12" ht="14.25" customHeight="1">
      <c r="G64" s="66"/>
      <c r="H64" s="66"/>
      <c r="L64" s="63"/>
    </row>
    <row r="65" spans="8:10" ht="14.25" customHeight="1">
      <c r="H65" s="84" t="s">
        <v>102</v>
      </c>
      <c r="I65" s="85"/>
      <c r="J65" s="85"/>
    </row>
    <row r="66" spans="8:10" ht="14.25" customHeight="1"/>
    <row r="67" spans="8:10" ht="14.25" customHeight="1"/>
    <row r="68" spans="8:10" ht="14.25" customHeight="1"/>
    <row r="69" spans="8:10" ht="14.25" customHeight="1"/>
    <row r="70" spans="8:10" ht="14.25" customHeight="1"/>
    <row r="71" spans="8:10" ht="14.25" customHeight="1"/>
    <row r="72" spans="8:10" ht="14.25" customHeight="1"/>
    <row r="73" spans="8:10" ht="14.25" customHeight="1"/>
    <row r="74" spans="8:10" ht="14.25" customHeight="1"/>
    <row r="75" spans="8:10" ht="14.25" customHeight="1"/>
    <row r="76" spans="8:10" ht="14.25" customHeight="1"/>
    <row r="77" spans="8:10" ht="14.25" customHeight="1"/>
    <row r="78" spans="8:10" ht="14.25" customHeight="1"/>
    <row r="79" spans="8:10" ht="14.25" customHeight="1"/>
    <row r="80" spans="8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3:N3"/>
    <mergeCell ref="A4:N4"/>
    <mergeCell ref="A5:N5"/>
    <mergeCell ref="B9:C9"/>
    <mergeCell ref="A6:N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"/>
  <sheetViews>
    <sheetView topLeftCell="G1" zoomScale="127" zoomScaleNormal="90" workbookViewId="0">
      <selection activeCell="L29" sqref="L29"/>
    </sheetView>
  </sheetViews>
  <sheetFormatPr defaultColWidth="14.44140625" defaultRowHeight="15" customHeight="1"/>
  <cols>
    <col min="1" max="1" width="8.6640625" customWidth="1"/>
    <col min="2" max="2" width="21.33203125" customWidth="1"/>
    <col min="3" max="3" width="23.88671875" customWidth="1"/>
    <col min="4" max="4" width="17.109375" customWidth="1"/>
    <col min="5" max="5" width="18.44140625" customWidth="1"/>
    <col min="6" max="6" width="20.5546875" customWidth="1"/>
    <col min="7" max="7" width="8.6640625" customWidth="1"/>
    <col min="8" max="8" width="22.5546875" customWidth="1"/>
    <col min="9" max="9" width="21.6640625" customWidth="1"/>
    <col min="10" max="12" width="17.33203125" customWidth="1"/>
    <col min="13" max="13" width="19.5546875" customWidth="1"/>
  </cols>
  <sheetData>
    <row r="1" spans="2:13" ht="14.25" customHeight="1">
      <c r="B1" s="62"/>
    </row>
    <row r="2" spans="2:13" ht="14.25" customHeight="1">
      <c r="B2" s="62"/>
    </row>
    <row r="3" spans="2:13" ht="20.25" customHeight="1">
      <c r="B3" s="62"/>
      <c r="C3" s="66"/>
      <c r="D3" s="86"/>
      <c r="E3" s="87"/>
      <c r="F3" s="86"/>
      <c r="G3" s="88" t="s">
        <v>103</v>
      </c>
      <c r="H3" s="86"/>
    </row>
    <row r="4" spans="2:13" ht="20.25" customHeight="1">
      <c r="B4" s="62"/>
      <c r="D4" s="86"/>
      <c r="E4" s="86"/>
      <c r="F4" s="86"/>
      <c r="G4" s="88" t="s">
        <v>104</v>
      </c>
      <c r="H4" s="87"/>
    </row>
    <row r="5" spans="2:13" ht="20.25" customHeight="1">
      <c r="B5" s="62"/>
      <c r="D5" s="86"/>
      <c r="E5" s="87"/>
      <c r="F5" s="87"/>
      <c r="G5" s="88" t="s">
        <v>105</v>
      </c>
      <c r="H5" s="86"/>
    </row>
    <row r="6" spans="2:13" ht="20.25" customHeight="1">
      <c r="B6" s="62"/>
      <c r="D6" s="86"/>
      <c r="E6" s="87"/>
      <c r="F6" s="87"/>
      <c r="G6" s="88" t="s">
        <v>106</v>
      </c>
      <c r="H6" s="86"/>
    </row>
    <row r="7" spans="2:13" ht="14.25" customHeight="1">
      <c r="B7" s="62"/>
    </row>
    <row r="8" spans="2:13" ht="14.25" customHeight="1">
      <c r="B8" s="122" t="s">
        <v>107</v>
      </c>
      <c r="C8" s="117"/>
      <c r="D8" s="117"/>
      <c r="E8" s="117"/>
      <c r="F8" s="117"/>
      <c r="H8" s="122" t="s">
        <v>108</v>
      </c>
      <c r="I8" s="117"/>
      <c r="J8" s="117"/>
      <c r="K8" s="117"/>
      <c r="L8" s="117"/>
      <c r="M8" s="117"/>
    </row>
    <row r="9" spans="2:13" ht="14.25" customHeight="1">
      <c r="B9" s="62"/>
    </row>
    <row r="10" spans="2:13" ht="14.25" customHeight="1">
      <c r="B10" s="89" t="s">
        <v>6</v>
      </c>
      <c r="C10" s="90" t="s">
        <v>7</v>
      </c>
      <c r="D10" s="90" t="s">
        <v>56</v>
      </c>
      <c r="E10" s="91" t="s">
        <v>109</v>
      </c>
      <c r="F10" s="90" t="s">
        <v>10</v>
      </c>
      <c r="H10" s="54" t="s">
        <v>55</v>
      </c>
      <c r="I10" s="53" t="s">
        <v>34</v>
      </c>
      <c r="J10" s="56" t="s">
        <v>8</v>
      </c>
      <c r="K10" s="56"/>
      <c r="L10" s="56" t="s">
        <v>109</v>
      </c>
      <c r="M10" s="56" t="s">
        <v>35</v>
      </c>
    </row>
    <row r="11" spans="2:13" ht="14.25" customHeight="1">
      <c r="B11" s="89">
        <v>45917</v>
      </c>
      <c r="C11" s="90" t="s">
        <v>110</v>
      </c>
      <c r="D11" s="91"/>
      <c r="E11" s="91">
        <v>8000</v>
      </c>
      <c r="F11" s="91">
        <v>1253501</v>
      </c>
      <c r="H11" s="89">
        <v>45931</v>
      </c>
      <c r="I11" s="90" t="s">
        <v>111</v>
      </c>
      <c r="J11" s="56"/>
      <c r="K11" s="56"/>
      <c r="L11" s="56">
        <v>225000</v>
      </c>
      <c r="M11" s="56">
        <f>F20-L11</f>
        <v>981501</v>
      </c>
    </row>
    <row r="12" spans="2:13" ht="14.25" customHeight="1">
      <c r="B12" s="89">
        <v>45918</v>
      </c>
      <c r="C12" s="90" t="s">
        <v>19</v>
      </c>
      <c r="D12" s="91"/>
      <c r="E12" s="91">
        <v>4000</v>
      </c>
      <c r="F12" s="91">
        <f>F11-E12</f>
        <v>1249501</v>
      </c>
      <c r="H12" s="89"/>
      <c r="I12" s="90" t="s">
        <v>112</v>
      </c>
      <c r="J12" s="56"/>
      <c r="K12" s="56"/>
      <c r="L12" s="56">
        <v>125000</v>
      </c>
      <c r="M12" s="56">
        <f>M11-L12</f>
        <v>856501</v>
      </c>
    </row>
    <row r="13" spans="2:13" ht="14.25" customHeight="1">
      <c r="B13" s="89">
        <v>45920</v>
      </c>
      <c r="C13" s="90" t="s">
        <v>113</v>
      </c>
      <c r="D13" s="91"/>
      <c r="E13" s="91">
        <v>440000</v>
      </c>
      <c r="F13" s="91">
        <f t="shared" ref="F13:F18" si="0">F12-E13</f>
        <v>809501</v>
      </c>
      <c r="H13" s="89"/>
      <c r="I13" s="90" t="s">
        <v>114</v>
      </c>
      <c r="J13" s="56"/>
      <c r="K13" s="56"/>
      <c r="L13" s="56">
        <v>210000</v>
      </c>
      <c r="M13" s="56">
        <f t="shared" ref="M13:M15" si="1">M12-L13</f>
        <v>646501</v>
      </c>
    </row>
    <row r="14" spans="2:13" ht="14.25" customHeight="1">
      <c r="B14" s="89"/>
      <c r="C14" s="90" t="s">
        <v>19</v>
      </c>
      <c r="D14" s="91"/>
      <c r="E14" s="91">
        <v>4000</v>
      </c>
      <c r="F14" s="91">
        <f t="shared" si="0"/>
        <v>805501</v>
      </c>
      <c r="H14" s="89">
        <v>45932</v>
      </c>
      <c r="I14" s="90" t="s">
        <v>115</v>
      </c>
      <c r="J14" s="56"/>
      <c r="K14" s="56"/>
      <c r="L14" s="56">
        <v>7000</v>
      </c>
      <c r="M14" s="56">
        <f>M13-L14</f>
        <v>639501</v>
      </c>
    </row>
    <row r="15" spans="2:13" ht="14.25" customHeight="1">
      <c r="B15" s="89">
        <v>45923</v>
      </c>
      <c r="C15" s="90" t="s">
        <v>19</v>
      </c>
      <c r="D15" s="91"/>
      <c r="E15" s="91">
        <v>4000</v>
      </c>
      <c r="F15" s="91">
        <f t="shared" si="0"/>
        <v>801501</v>
      </c>
      <c r="H15" s="89">
        <v>45933</v>
      </c>
      <c r="I15" s="90" t="s">
        <v>19</v>
      </c>
      <c r="J15" s="56"/>
      <c r="K15" s="56"/>
      <c r="L15" s="56">
        <v>4000</v>
      </c>
      <c r="M15" s="56">
        <f t="shared" si="1"/>
        <v>635501</v>
      </c>
    </row>
    <row r="16" spans="2:13" ht="14.25" customHeight="1">
      <c r="B16" s="89">
        <v>45924</v>
      </c>
      <c r="C16" s="90" t="s">
        <v>19</v>
      </c>
      <c r="D16" s="91"/>
      <c r="E16" s="91">
        <v>4000</v>
      </c>
      <c r="F16" s="91">
        <f t="shared" si="0"/>
        <v>797501</v>
      </c>
      <c r="H16" s="89">
        <v>45935</v>
      </c>
      <c r="I16" s="90" t="s">
        <v>116</v>
      </c>
      <c r="J16" s="56"/>
      <c r="K16" s="56"/>
      <c r="L16" s="56">
        <v>50000</v>
      </c>
      <c r="M16" s="56">
        <f>M15-J16-L16</f>
        <v>585501</v>
      </c>
    </row>
    <row r="17" spans="2:13" ht="14.25" customHeight="1">
      <c r="B17" s="89">
        <v>45926</v>
      </c>
      <c r="C17" s="90" t="s">
        <v>19</v>
      </c>
      <c r="D17" s="91"/>
      <c r="E17" s="91">
        <v>4000</v>
      </c>
      <c r="F17" s="91">
        <f t="shared" si="0"/>
        <v>793501</v>
      </c>
      <c r="H17" s="89">
        <v>45936</v>
      </c>
      <c r="I17" s="90" t="s">
        <v>117</v>
      </c>
      <c r="J17" s="56">
        <v>420000</v>
      </c>
      <c r="K17" s="56"/>
      <c r="L17" s="56"/>
      <c r="M17" s="56">
        <f>M16+J17-L17</f>
        <v>1005501</v>
      </c>
    </row>
    <row r="18" spans="2:13" ht="14.25" customHeight="1">
      <c r="B18" s="89">
        <v>45929</v>
      </c>
      <c r="C18" s="90" t="s">
        <v>19</v>
      </c>
      <c r="D18" s="91"/>
      <c r="E18" s="91">
        <v>3000</v>
      </c>
      <c r="F18" s="91">
        <f t="shared" si="0"/>
        <v>790501</v>
      </c>
      <c r="H18" s="89">
        <v>45943</v>
      </c>
      <c r="I18" s="90" t="s">
        <v>118</v>
      </c>
      <c r="J18" s="56"/>
      <c r="K18" s="56"/>
      <c r="L18" s="56">
        <v>50000</v>
      </c>
      <c r="M18" s="56">
        <f>M17-L18</f>
        <v>955501</v>
      </c>
    </row>
    <row r="19" spans="2:13" ht="14.25" customHeight="1">
      <c r="B19" s="89"/>
      <c r="C19" s="90" t="s">
        <v>13</v>
      </c>
      <c r="D19" s="91">
        <v>420000</v>
      </c>
      <c r="E19" s="91"/>
      <c r="F19" s="91">
        <f>F18+D19</f>
        <v>1210501</v>
      </c>
      <c r="H19" s="89"/>
      <c r="I19" s="90" t="s">
        <v>117</v>
      </c>
      <c r="J19" s="56">
        <v>420000</v>
      </c>
      <c r="K19" s="56"/>
      <c r="L19" s="56"/>
      <c r="M19" s="56">
        <f t="shared" ref="M19:M20" si="2">M18+J19-L19</f>
        <v>1375501</v>
      </c>
    </row>
    <row r="20" spans="2:13" ht="14.25" customHeight="1">
      <c r="B20" s="89">
        <v>45930</v>
      </c>
      <c r="C20" s="90" t="s">
        <v>19</v>
      </c>
      <c r="D20" s="91"/>
      <c r="E20" s="91">
        <v>4000</v>
      </c>
      <c r="F20" s="91">
        <f>F19-E20</f>
        <v>1206501</v>
      </c>
      <c r="H20" s="89">
        <v>45950</v>
      </c>
      <c r="I20" s="90" t="s">
        <v>117</v>
      </c>
      <c r="J20" s="56">
        <v>420000</v>
      </c>
      <c r="K20" s="56"/>
      <c r="L20" s="56"/>
      <c r="M20" s="56">
        <f t="shared" si="2"/>
        <v>1795501</v>
      </c>
    </row>
    <row r="21" spans="2:13" ht="14.25" customHeight="1">
      <c r="B21" s="62"/>
      <c r="H21" s="89">
        <v>45952</v>
      </c>
      <c r="I21" s="90" t="s">
        <v>118</v>
      </c>
      <c r="J21" s="56"/>
      <c r="K21" s="56"/>
      <c r="L21" s="56">
        <v>47000</v>
      </c>
      <c r="M21" s="56">
        <f>M20-J21+L21</f>
        <v>1842501</v>
      </c>
    </row>
    <row r="22" spans="2:13" ht="14.25" customHeight="1">
      <c r="B22" s="62"/>
      <c r="H22" s="89">
        <v>45957</v>
      </c>
      <c r="I22" s="90" t="s">
        <v>117</v>
      </c>
      <c r="J22" s="56">
        <v>420000</v>
      </c>
      <c r="K22" s="56"/>
      <c r="L22" s="56"/>
      <c r="M22" s="56">
        <f>M21+J22-L22</f>
        <v>2262501</v>
      </c>
    </row>
    <row r="23" spans="2:13" ht="14.25" customHeight="1">
      <c r="B23" s="62"/>
    </row>
    <row r="24" spans="2:13" ht="14.25" customHeight="1">
      <c r="B24" s="122" t="s">
        <v>119</v>
      </c>
      <c r="C24" s="117"/>
      <c r="D24" s="117"/>
      <c r="E24" s="117"/>
      <c r="F24" s="117"/>
      <c r="H24" s="122" t="s">
        <v>120</v>
      </c>
      <c r="I24" s="117"/>
      <c r="J24" s="117"/>
      <c r="K24" s="117"/>
      <c r="L24" s="117"/>
      <c r="M24" s="117"/>
    </row>
    <row r="25" spans="2:13" ht="14.25" customHeight="1">
      <c r="B25" s="62"/>
    </row>
    <row r="26" spans="2:13" ht="14.25" customHeight="1">
      <c r="B26" s="89" t="s">
        <v>6</v>
      </c>
      <c r="C26" s="90" t="s">
        <v>7</v>
      </c>
      <c r="D26" s="91" t="s">
        <v>56</v>
      </c>
      <c r="E26" s="91" t="s">
        <v>109</v>
      </c>
      <c r="F26" s="90" t="s">
        <v>10</v>
      </c>
      <c r="H26" s="89" t="s">
        <v>6</v>
      </c>
      <c r="I26" s="90" t="s">
        <v>7</v>
      </c>
      <c r="J26" s="91" t="s">
        <v>56</v>
      </c>
      <c r="K26" s="91"/>
      <c r="L26" s="91" t="s">
        <v>109</v>
      </c>
      <c r="M26" s="90" t="s">
        <v>10</v>
      </c>
    </row>
    <row r="27" spans="2:13" ht="14.25" customHeight="1">
      <c r="B27" s="92">
        <v>45971</v>
      </c>
      <c r="C27" s="92" t="s">
        <v>117</v>
      </c>
      <c r="D27" s="71">
        <v>420000</v>
      </c>
      <c r="E27" s="92"/>
      <c r="F27" s="71">
        <f>M22+D27</f>
        <v>2682501</v>
      </c>
      <c r="H27" s="92">
        <v>45992</v>
      </c>
      <c r="I27" s="55" t="s">
        <v>117</v>
      </c>
      <c r="J27" s="71">
        <v>400000</v>
      </c>
      <c r="K27" s="71"/>
      <c r="L27" s="71"/>
      <c r="M27" s="71">
        <f>F34+J27-L27</f>
        <v>3465501</v>
      </c>
    </row>
    <row r="28" spans="2:13" ht="14.25" customHeight="1">
      <c r="B28" s="92">
        <v>45946</v>
      </c>
      <c r="C28" s="92" t="s">
        <v>121</v>
      </c>
      <c r="E28" s="71">
        <v>47000</v>
      </c>
      <c r="F28" s="71">
        <f t="shared" ref="F28:F34" si="3">F27+D28-E28</f>
        <v>2635501</v>
      </c>
      <c r="H28" s="92">
        <v>45993</v>
      </c>
      <c r="I28" s="55" t="s">
        <v>122</v>
      </c>
      <c r="L28" s="71">
        <v>175000</v>
      </c>
      <c r="M28" s="71">
        <f t="shared" ref="M28:M29" si="4">M27+J28-L28</f>
        <v>3290501</v>
      </c>
    </row>
    <row r="29" spans="2:13" ht="14.25" customHeight="1">
      <c r="B29" s="92">
        <v>45978</v>
      </c>
      <c r="C29" s="92" t="s">
        <v>117</v>
      </c>
      <c r="D29" s="71">
        <v>420000</v>
      </c>
      <c r="E29" s="92"/>
      <c r="F29" s="71">
        <f t="shared" si="3"/>
        <v>3055501</v>
      </c>
      <c r="H29" s="92">
        <v>45995</v>
      </c>
      <c r="I29" s="55" t="s">
        <v>118</v>
      </c>
      <c r="J29" s="71"/>
      <c r="K29" s="71"/>
      <c r="L29" s="71">
        <v>53000</v>
      </c>
      <c r="M29" s="71">
        <f t="shared" si="4"/>
        <v>3237501</v>
      </c>
    </row>
    <row r="30" spans="2:13" ht="14.25" customHeight="1">
      <c r="B30" s="92">
        <v>45985</v>
      </c>
      <c r="C30" s="92" t="s">
        <v>117</v>
      </c>
      <c r="D30" s="71">
        <v>400000</v>
      </c>
      <c r="E30" s="92"/>
      <c r="F30" s="71">
        <f t="shared" si="3"/>
        <v>3455501</v>
      </c>
      <c r="H30" s="92">
        <v>45999</v>
      </c>
      <c r="I30" s="55" t="s">
        <v>117</v>
      </c>
      <c r="J30" s="71">
        <v>390000</v>
      </c>
      <c r="K30" s="71"/>
      <c r="L30" s="71"/>
      <c r="M30" s="71">
        <f>M29+J30</f>
        <v>3627501</v>
      </c>
    </row>
    <row r="31" spans="2:13" ht="14.25" customHeight="1">
      <c r="B31" s="92">
        <v>45987</v>
      </c>
      <c r="C31" s="92" t="s">
        <v>123</v>
      </c>
      <c r="D31" s="93"/>
      <c r="E31" s="71">
        <v>20000</v>
      </c>
      <c r="F31" s="71">
        <f t="shared" si="3"/>
        <v>3435501</v>
      </c>
      <c r="H31" s="92">
        <v>46001</v>
      </c>
      <c r="I31" s="55" t="s">
        <v>124</v>
      </c>
      <c r="J31" s="71"/>
      <c r="K31" s="71">
        <v>264000</v>
      </c>
      <c r="L31" s="71"/>
      <c r="M31" s="71">
        <f>M30-K31</f>
        <v>3363501</v>
      </c>
    </row>
    <row r="32" spans="2:13" ht="14.25" customHeight="1">
      <c r="B32" s="94"/>
      <c r="C32" s="92" t="s">
        <v>125</v>
      </c>
      <c r="D32" s="93"/>
      <c r="E32" s="71">
        <v>240000</v>
      </c>
      <c r="F32" s="71">
        <f t="shared" si="3"/>
        <v>3195501</v>
      </c>
      <c r="H32" s="92">
        <v>46006</v>
      </c>
      <c r="I32" s="55" t="s">
        <v>84</v>
      </c>
      <c r="J32" s="71">
        <v>360000</v>
      </c>
      <c r="K32" s="71"/>
      <c r="L32" s="71"/>
      <c r="M32" s="71">
        <f>M31+J32</f>
        <v>3723501</v>
      </c>
    </row>
    <row r="33" spans="2:13" ht="14.25" customHeight="1">
      <c r="B33" s="92"/>
      <c r="C33" s="92" t="s">
        <v>112</v>
      </c>
      <c r="D33" s="93"/>
      <c r="E33" s="71">
        <v>50000</v>
      </c>
      <c r="F33" s="71">
        <f t="shared" si="3"/>
        <v>3145501</v>
      </c>
      <c r="H33" s="92">
        <v>46013</v>
      </c>
      <c r="I33" s="55" t="s">
        <v>15</v>
      </c>
      <c r="J33" s="71"/>
      <c r="K33" s="71">
        <v>8000</v>
      </c>
      <c r="L33" s="71"/>
      <c r="M33" s="71">
        <f>M32-K33</f>
        <v>3715501</v>
      </c>
    </row>
    <row r="34" spans="2:13" ht="14.25" customHeight="1">
      <c r="B34" s="92">
        <v>45988</v>
      </c>
      <c r="C34" s="92" t="s">
        <v>118</v>
      </c>
      <c r="D34" s="93"/>
      <c r="E34" s="71">
        <v>80000</v>
      </c>
      <c r="F34" s="71">
        <f t="shared" si="3"/>
        <v>3065501</v>
      </c>
      <c r="H34" s="92">
        <v>46013</v>
      </c>
      <c r="I34" s="55" t="s">
        <v>84</v>
      </c>
      <c r="J34" s="71">
        <v>200000</v>
      </c>
      <c r="K34" s="71"/>
      <c r="L34" s="71"/>
      <c r="M34" s="71">
        <f>M33+J34</f>
        <v>3915501</v>
      </c>
    </row>
    <row r="35" spans="2:13" ht="14.25" customHeight="1"/>
    <row r="36" spans="2:13" ht="14.25" customHeight="1"/>
    <row r="37" spans="2:13" ht="14.25" customHeight="1"/>
    <row r="38" spans="2:13" ht="14.25" customHeight="1"/>
    <row r="39" spans="2:13" ht="14.25" customHeight="1">
      <c r="B39" s="62"/>
    </row>
    <row r="40" spans="2:13" ht="14.25" customHeight="1">
      <c r="B40" s="62"/>
    </row>
    <row r="41" spans="2:13" ht="14.25" customHeight="1">
      <c r="B41" s="62"/>
    </row>
    <row r="42" spans="2:13" ht="14.25" customHeight="1">
      <c r="B42" s="62"/>
    </row>
    <row r="43" spans="2:13" ht="14.25" customHeight="1">
      <c r="B43" s="62"/>
    </row>
    <row r="44" spans="2:13" ht="14.25" customHeight="1">
      <c r="B44" s="62"/>
    </row>
    <row r="45" spans="2:13" ht="14.25" customHeight="1">
      <c r="B45" s="62"/>
    </row>
    <row r="46" spans="2:13" ht="14.25" customHeight="1">
      <c r="B46" s="62"/>
    </row>
    <row r="47" spans="2:13" ht="14.25" customHeight="1">
      <c r="B47" s="62"/>
    </row>
    <row r="48" spans="2:13" ht="14.25" customHeight="1">
      <c r="B48" s="62"/>
    </row>
    <row r="49" spans="2:2" ht="14.25" customHeight="1">
      <c r="B49" s="62"/>
    </row>
    <row r="50" spans="2:2" ht="14.25" customHeight="1">
      <c r="B50" s="62"/>
    </row>
    <row r="51" spans="2:2" ht="14.25" customHeight="1">
      <c r="B51" s="62"/>
    </row>
    <row r="52" spans="2:2" ht="14.25" customHeight="1">
      <c r="B52" s="62"/>
    </row>
    <row r="53" spans="2:2" ht="14.25" customHeight="1">
      <c r="B53" s="62"/>
    </row>
    <row r="54" spans="2:2" ht="14.25" customHeight="1">
      <c r="B54" s="62"/>
    </row>
    <row r="55" spans="2:2" ht="14.25" customHeight="1">
      <c r="B55" s="62"/>
    </row>
    <row r="56" spans="2:2" ht="14.25" customHeight="1">
      <c r="B56" s="62"/>
    </row>
    <row r="57" spans="2:2" ht="14.25" customHeight="1">
      <c r="B57" s="62"/>
    </row>
    <row r="58" spans="2:2" ht="14.25" customHeight="1">
      <c r="B58" s="62"/>
    </row>
    <row r="59" spans="2:2" ht="14.25" customHeight="1">
      <c r="B59" s="62"/>
    </row>
    <row r="60" spans="2:2" ht="14.25" customHeight="1">
      <c r="B60" s="62"/>
    </row>
    <row r="61" spans="2:2" ht="14.25" customHeight="1">
      <c r="B61" s="62"/>
    </row>
    <row r="62" spans="2:2" ht="14.25" customHeight="1">
      <c r="B62" s="62"/>
    </row>
    <row r="63" spans="2:2" ht="14.25" customHeight="1">
      <c r="B63" s="62"/>
    </row>
    <row r="64" spans="2:2" ht="14.25" customHeight="1">
      <c r="B64" s="62"/>
    </row>
    <row r="65" spans="2:2" ht="14.25" customHeight="1">
      <c r="B65" s="62"/>
    </row>
    <row r="66" spans="2:2" ht="14.25" customHeight="1">
      <c r="B66" s="62"/>
    </row>
    <row r="67" spans="2:2" ht="14.25" customHeight="1">
      <c r="B67" s="62"/>
    </row>
    <row r="68" spans="2:2" ht="14.25" customHeight="1">
      <c r="B68" s="62"/>
    </row>
    <row r="69" spans="2:2" ht="14.25" customHeight="1">
      <c r="B69" s="62"/>
    </row>
    <row r="70" spans="2:2" ht="14.25" customHeight="1">
      <c r="B70" s="62"/>
    </row>
    <row r="71" spans="2:2" ht="14.25" customHeight="1">
      <c r="B71" s="62"/>
    </row>
    <row r="72" spans="2:2" ht="14.25" customHeight="1">
      <c r="B72" s="62"/>
    </row>
    <row r="73" spans="2:2" ht="14.25" customHeight="1">
      <c r="B73" s="62"/>
    </row>
    <row r="74" spans="2:2" ht="14.25" customHeight="1">
      <c r="B74" s="62"/>
    </row>
    <row r="75" spans="2:2" ht="14.25" customHeight="1">
      <c r="B75" s="62"/>
    </row>
    <row r="76" spans="2:2" ht="14.25" customHeight="1">
      <c r="B76" s="62"/>
    </row>
    <row r="77" spans="2:2" ht="14.25" customHeight="1">
      <c r="B77" s="62"/>
    </row>
    <row r="78" spans="2:2" ht="14.25" customHeight="1">
      <c r="B78" s="62"/>
    </row>
    <row r="79" spans="2:2" ht="14.25" customHeight="1">
      <c r="B79" s="62"/>
    </row>
    <row r="80" spans="2:2" ht="14.25" customHeight="1">
      <c r="B80" s="62"/>
    </row>
    <row r="81" spans="2:2" ht="14.25" customHeight="1">
      <c r="B81" s="62"/>
    </row>
    <row r="82" spans="2:2" ht="14.25" customHeight="1">
      <c r="B82" s="62"/>
    </row>
    <row r="83" spans="2:2" ht="14.25" customHeight="1">
      <c r="B83" s="62"/>
    </row>
    <row r="84" spans="2:2" ht="14.25" customHeight="1">
      <c r="B84" s="62"/>
    </row>
    <row r="85" spans="2:2" ht="14.25" customHeight="1">
      <c r="B85" s="62"/>
    </row>
    <row r="86" spans="2:2" ht="14.25" customHeight="1">
      <c r="B86" s="62"/>
    </row>
    <row r="87" spans="2:2" ht="14.25" customHeight="1">
      <c r="B87" s="62"/>
    </row>
    <row r="88" spans="2:2" ht="14.25" customHeight="1">
      <c r="B88" s="62"/>
    </row>
    <row r="89" spans="2:2" ht="14.25" customHeight="1">
      <c r="B89" s="62"/>
    </row>
    <row r="90" spans="2:2" ht="14.25" customHeight="1">
      <c r="B90" s="62"/>
    </row>
    <row r="91" spans="2:2" ht="14.25" customHeight="1">
      <c r="B91" s="62"/>
    </row>
    <row r="92" spans="2:2" ht="14.25" customHeight="1">
      <c r="B92" s="62"/>
    </row>
    <row r="93" spans="2:2" ht="14.25" customHeight="1">
      <c r="B93" s="62"/>
    </row>
    <row r="94" spans="2:2" ht="14.25" customHeight="1">
      <c r="B94" s="62"/>
    </row>
    <row r="95" spans="2:2" ht="14.25" customHeight="1">
      <c r="B95" s="62"/>
    </row>
    <row r="96" spans="2:2" ht="14.25" customHeight="1">
      <c r="B96" s="62"/>
    </row>
    <row r="97" spans="2:2" ht="14.25" customHeight="1">
      <c r="B97" s="62"/>
    </row>
    <row r="98" spans="2:2" ht="14.25" customHeight="1">
      <c r="B98" s="62"/>
    </row>
    <row r="99" spans="2:2" ht="14.25" customHeight="1">
      <c r="B99" s="62"/>
    </row>
    <row r="100" spans="2:2" ht="14.25" customHeight="1">
      <c r="B100" s="62"/>
    </row>
  </sheetData>
  <mergeCells count="4">
    <mergeCell ref="B24:F24"/>
    <mergeCell ref="B8:F8"/>
    <mergeCell ref="H8:M8"/>
    <mergeCell ref="H24:M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297A-387A-4C9A-A335-F1CE2244510C}">
  <dimension ref="A1:P21"/>
  <sheetViews>
    <sheetView tabSelected="1" topLeftCell="A5" zoomScale="114" zoomScaleNormal="85" workbookViewId="0">
      <selection activeCell="F6" sqref="F6"/>
    </sheetView>
  </sheetViews>
  <sheetFormatPr defaultRowHeight="14.4"/>
  <cols>
    <col min="2" max="2" width="14.109375" customWidth="1"/>
    <col min="3" max="3" width="26.6640625" customWidth="1"/>
    <col min="4" max="5" width="17.6640625" style="109" customWidth="1"/>
    <col min="6" max="6" width="30.88671875" style="109" customWidth="1"/>
    <col min="8" max="8" width="42" customWidth="1"/>
    <col min="9" max="9" width="33.109375" hidden="1" customWidth="1"/>
  </cols>
  <sheetData>
    <row r="1" spans="1:16" ht="17.399999999999999">
      <c r="A1" s="95"/>
    </row>
    <row r="3" spans="1:16" ht="18">
      <c r="H3" s="103" t="s">
        <v>136</v>
      </c>
      <c r="I3" s="104"/>
      <c r="J3" s="104" t="s">
        <v>127</v>
      </c>
      <c r="K3" s="104"/>
      <c r="L3" s="104"/>
      <c r="M3" s="106"/>
      <c r="N3" s="104"/>
      <c r="O3" s="105"/>
      <c r="P3" s="105"/>
    </row>
    <row r="4" spans="1:16" ht="18">
      <c r="H4" s="104"/>
      <c r="I4" s="104"/>
      <c r="J4" s="103" t="s">
        <v>126</v>
      </c>
      <c r="K4" s="104"/>
      <c r="L4" s="104"/>
      <c r="M4" s="104"/>
      <c r="N4" s="104"/>
      <c r="O4" s="105"/>
      <c r="P4" s="105"/>
    </row>
    <row r="7" spans="1:16" ht="17.399999999999999">
      <c r="B7" s="96"/>
      <c r="C7" s="96"/>
      <c r="D7" s="123" t="s">
        <v>128</v>
      </c>
      <c r="E7" s="111"/>
      <c r="F7" s="111"/>
    </row>
    <row r="9" spans="1:16" ht="18">
      <c r="B9" s="107" t="s">
        <v>55</v>
      </c>
      <c r="C9" s="108" t="s">
        <v>34</v>
      </c>
      <c r="D9" s="112" t="s">
        <v>129</v>
      </c>
      <c r="E9" s="112" t="s">
        <v>109</v>
      </c>
      <c r="F9" s="112" t="s">
        <v>35</v>
      </c>
      <c r="H9" s="101"/>
      <c r="I9" s="100" t="s">
        <v>135</v>
      </c>
    </row>
    <row r="10" spans="1:16" ht="16.8">
      <c r="B10" s="98">
        <v>46113</v>
      </c>
      <c r="C10" s="97" t="s">
        <v>40</v>
      </c>
      <c r="D10" s="110"/>
      <c r="E10" s="110">
        <v>4000</v>
      </c>
      <c r="F10" s="110">
        <f>'Sms 3'!M34 + D10 - E10</f>
        <v>3911501</v>
      </c>
    </row>
    <row r="11" spans="1:16" ht="16.8">
      <c r="B11" s="98">
        <v>46113</v>
      </c>
      <c r="C11" s="97" t="s">
        <v>130</v>
      </c>
      <c r="D11" s="110"/>
      <c r="E11" s="110">
        <v>15000</v>
      </c>
      <c r="F11" s="110">
        <f>F10 +D11 - E11</f>
        <v>3896501</v>
      </c>
    </row>
    <row r="12" spans="1:16" ht="16.8">
      <c r="B12" s="98">
        <v>46113</v>
      </c>
      <c r="C12" s="97" t="s">
        <v>131</v>
      </c>
      <c r="D12" s="110"/>
      <c r="E12" s="110">
        <v>3500</v>
      </c>
      <c r="F12" s="110">
        <f t="shared" ref="F12:F16" si="0">F11 +D12 - E12</f>
        <v>3893001</v>
      </c>
    </row>
    <row r="13" spans="1:16" ht="16.8">
      <c r="B13" s="98">
        <v>46113</v>
      </c>
      <c r="C13" s="97" t="s">
        <v>132</v>
      </c>
      <c r="D13" s="110"/>
      <c r="E13" s="110">
        <v>80000</v>
      </c>
      <c r="F13" s="110">
        <f t="shared" si="0"/>
        <v>3813001</v>
      </c>
    </row>
    <row r="14" spans="1:16" ht="16.8">
      <c r="B14" s="98">
        <v>46114</v>
      </c>
      <c r="C14" s="97" t="s">
        <v>84</v>
      </c>
      <c r="D14" s="110">
        <v>470000</v>
      </c>
      <c r="E14" s="110"/>
      <c r="F14" s="110">
        <f t="shared" si="0"/>
        <v>4283001</v>
      </c>
    </row>
    <row r="15" spans="1:16" ht="16.8">
      <c r="B15" s="99">
        <v>46114</v>
      </c>
      <c r="C15" s="97" t="s">
        <v>133</v>
      </c>
      <c r="D15" s="110"/>
      <c r="E15" s="110">
        <v>48000</v>
      </c>
      <c r="F15" s="110">
        <f t="shared" si="0"/>
        <v>4235001</v>
      </c>
    </row>
    <row r="16" spans="1:16" ht="16.8">
      <c r="B16" s="98">
        <v>46119</v>
      </c>
      <c r="C16" s="97" t="s">
        <v>134</v>
      </c>
      <c r="D16" s="110">
        <v>580000</v>
      </c>
      <c r="E16" s="110"/>
      <c r="F16" s="110">
        <f t="shared" si="0"/>
        <v>4815001</v>
      </c>
    </row>
    <row r="17" spans="2:6" ht="16.8">
      <c r="B17" s="97"/>
      <c r="C17" s="97"/>
      <c r="D17" s="113"/>
      <c r="E17" s="113"/>
      <c r="F17" s="113"/>
    </row>
    <row r="18" spans="2:6" ht="16.8">
      <c r="B18" s="97"/>
      <c r="C18" s="97"/>
      <c r="D18" s="113"/>
      <c r="E18" s="113"/>
      <c r="F18" s="113"/>
    </row>
    <row r="19" spans="2:6" ht="16.8">
      <c r="B19" s="97"/>
      <c r="C19" s="97"/>
      <c r="D19" s="113"/>
      <c r="E19" s="113"/>
      <c r="F19" s="113"/>
    </row>
    <row r="21" spans="2:6" ht="15.6">
      <c r="C21" s="102" t="s">
        <v>137</v>
      </c>
      <c r="D21" s="109">
        <f>'Sms 3'!M34</f>
        <v>3915501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Sms 1</vt:lpstr>
      <vt:lpstr>Sms 2</vt:lpstr>
      <vt:lpstr>Sms 3</vt:lpstr>
      <vt:lpstr>Sms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 Zahra</dc:creator>
  <cp:lastModifiedBy>IT</cp:lastModifiedBy>
  <dcterms:created xsi:type="dcterms:W3CDTF">2025-01-03T12:31:51Z</dcterms:created>
  <dcterms:modified xsi:type="dcterms:W3CDTF">2026-04-13T03:17:10Z</dcterms:modified>
</cp:coreProperties>
</file>